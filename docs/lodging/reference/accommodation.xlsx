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1835" windowHeight="6495" activeTab="6"/>
  </bookViews>
  <sheets>
    <sheet name="1월" sheetId="54" r:id="rId1"/>
    <sheet name="2월" sheetId="56" r:id="rId2"/>
    <sheet name="3월" sheetId="55" r:id="rId3"/>
    <sheet name="4월" sheetId="43" r:id="rId4"/>
    <sheet name="5월" sheetId="44" r:id="rId5"/>
    <sheet name="6월" sheetId="52" r:id="rId6"/>
    <sheet name="7월" sheetId="46" r:id="rId7"/>
    <sheet name="8월" sheetId="47" r:id="rId8"/>
    <sheet name="9월" sheetId="48" r:id="rId9"/>
    <sheet name="10월" sheetId="49" r:id="rId10"/>
    <sheet name="11월" sheetId="50" r:id="rId11"/>
    <sheet name="12월" sheetId="51" r:id="rId12"/>
  </sheets>
  <definedNames>
    <definedName name="_xlnm.Print_Area" localSheetId="9">'10월'!$A$1:$V$43</definedName>
    <definedName name="_xlnm.Print_Area" localSheetId="10">'11월'!$A$1:$T$44</definedName>
    <definedName name="_xlnm.Print_Area" localSheetId="11">'12월'!$A$1:$X$42</definedName>
    <definedName name="_xlnm.Print_Area" localSheetId="0">'1월'!$A$1:$AF$60</definedName>
    <definedName name="_xlnm.Print_Area" localSheetId="1">'2월'!$A$1:$AF$53</definedName>
    <definedName name="_xlnm.Print_Area" localSheetId="2">'3월'!$A$1:$AB$50</definedName>
    <definedName name="_xlnm.Print_Area" localSheetId="3">'4월'!$A$1:$AB$49</definedName>
    <definedName name="_xlnm.Print_Area" localSheetId="4">'5월'!$A$1:$T$52</definedName>
    <definedName name="_xlnm.Print_Area" localSheetId="5">'6월'!$A$1:$AF$47</definedName>
    <definedName name="_xlnm.Print_Area" localSheetId="6">'7월'!$A$1:$AE$36</definedName>
    <definedName name="_xlnm.Print_Area" localSheetId="7">'8월'!$A$1:$T$45</definedName>
    <definedName name="_xlnm.Print_Area" localSheetId="8">'9월'!$A$1:$T$42</definedName>
  </definedNames>
  <calcPr calcId="145621"/>
</workbook>
</file>

<file path=xl/calcChain.xml><?xml version="1.0" encoding="utf-8"?>
<calcChain xmlns="http://schemas.openxmlformats.org/spreadsheetml/2006/main">
  <c r="AD29" i="52" l="1"/>
  <c r="Q3" i="52" l="1"/>
  <c r="Q3" i="44" l="1"/>
  <c r="R46" i="44"/>
  <c r="AD43" i="56" l="1"/>
  <c r="Q3" i="56" s="1"/>
  <c r="D6" i="56"/>
  <c r="F6" i="56" s="1"/>
  <c r="H6" i="56" s="1"/>
  <c r="J6" i="56" s="1"/>
  <c r="L6" i="56" s="1"/>
  <c r="N6" i="56" s="1"/>
  <c r="B12" i="56" s="1"/>
  <c r="D12" i="56" s="1"/>
  <c r="F12" i="56" s="1"/>
  <c r="H12" i="56" s="1"/>
  <c r="J12" i="56" s="1"/>
  <c r="L12" i="56" s="1"/>
  <c r="N12" i="56" s="1"/>
  <c r="B18" i="56" s="1"/>
  <c r="D18" i="56" s="1"/>
  <c r="F18" i="56" s="1"/>
  <c r="H18" i="56" s="1"/>
  <c r="J18" i="56" s="1"/>
  <c r="L18" i="56" s="1"/>
  <c r="N18" i="56" s="1"/>
  <c r="B24" i="56" s="1"/>
  <c r="D24" i="56" s="1"/>
  <c r="F24" i="56" s="1"/>
  <c r="H24" i="56" s="1"/>
  <c r="J24" i="56" s="1"/>
  <c r="L24" i="56" s="1"/>
  <c r="N24" i="56" s="1"/>
  <c r="Q3" i="54" l="1"/>
  <c r="AD42" i="54"/>
  <c r="J30" i="51" l="1"/>
  <c r="R17" i="51"/>
  <c r="F6" i="50"/>
  <c r="H6" i="50"/>
  <c r="J6" i="50" s="1"/>
  <c r="L6" i="50" s="1"/>
  <c r="D6" i="50"/>
  <c r="R17" i="50"/>
  <c r="N30" i="49"/>
  <c r="R17" i="49"/>
  <c r="H30" i="48"/>
  <c r="R17" i="48"/>
  <c r="D39" i="47"/>
  <c r="R17" i="47"/>
  <c r="L30" i="46"/>
  <c r="W17" i="46"/>
  <c r="Z14" i="43" l="1"/>
  <c r="D6" i="55"/>
  <c r="F6" i="55" s="1"/>
  <c r="H6" i="55" s="1"/>
  <c r="J6" i="55" s="1"/>
  <c r="L6" i="55" s="1"/>
  <c r="J6" i="54"/>
  <c r="N6" i="55" l="1"/>
  <c r="B12" i="55" s="1"/>
  <c r="D12" i="55" s="1"/>
  <c r="F12" i="55" s="1"/>
  <c r="H12" i="55" s="1"/>
  <c r="J12" i="55" s="1"/>
  <c r="L12" i="55" s="1"/>
  <c r="N12" i="55" s="1"/>
  <c r="B18" i="55" s="1"/>
  <c r="D18" i="55" s="1"/>
  <c r="F18" i="55" s="1"/>
  <c r="H18" i="55" s="1"/>
  <c r="J18" i="55" s="1"/>
  <c r="L18" i="55" s="1"/>
  <c r="N18" i="55" s="1"/>
  <c r="B24" i="55" s="1"/>
  <c r="D24" i="55" s="1"/>
  <c r="F24" i="55" s="1"/>
  <c r="H24" i="55" s="1"/>
  <c r="J24" i="55" s="1"/>
  <c r="L24" i="55" s="1"/>
  <c r="N24" i="55" s="1"/>
  <c r="B30" i="55" s="1"/>
  <c r="D30" i="55" s="1"/>
  <c r="F30" i="55" s="1"/>
  <c r="Q3" i="50"/>
  <c r="Q3" i="48" l="1"/>
  <c r="Q3" i="47" l="1"/>
  <c r="Q3" i="46" l="1"/>
  <c r="Q3" i="43" l="1"/>
  <c r="Z14" i="55" l="1"/>
  <c r="Q3" i="49" l="1"/>
  <c r="D6" i="52"/>
  <c r="F6" i="52" s="1"/>
  <c r="H6" i="52" s="1"/>
  <c r="J6" i="52" s="1"/>
  <c r="L6" i="52" s="1"/>
  <c r="Q3" i="55"/>
  <c r="Q3" i="51" l="1"/>
  <c r="F6" i="51" l="1"/>
  <c r="H6" i="51" s="1"/>
  <c r="J6" i="51" s="1"/>
  <c r="L6" i="51" s="1"/>
  <c r="F6" i="48"/>
  <c r="H6" i="48" s="1"/>
  <c r="J6" i="48" s="1"/>
  <c r="L6" i="48" s="1"/>
  <c r="H6" i="46"/>
  <c r="J6" i="46" s="1"/>
  <c r="L6" i="46" s="1"/>
  <c r="N6" i="46" s="1"/>
  <c r="H6" i="43"/>
  <c r="J6" i="43" s="1"/>
  <c r="L6" i="43" s="1"/>
  <c r="N6" i="43" s="1"/>
  <c r="L6" i="54"/>
  <c r="N6" i="54" s="1"/>
  <c r="B12" i="54" s="1"/>
  <c r="D12" i="54" s="1"/>
  <c r="F12" i="54" s="1"/>
  <c r="H12" i="54" s="1"/>
  <c r="J12" i="54" s="1"/>
  <c r="L12" i="54" s="1"/>
  <c r="N12" i="54" s="1"/>
  <c r="B18" i="54" s="1"/>
  <c r="D18" i="54" s="1"/>
  <c r="F18" i="54" s="1"/>
  <c r="H18" i="54" s="1"/>
  <c r="J18" i="54" s="1"/>
  <c r="L18" i="54" s="1"/>
  <c r="N18" i="54" s="1"/>
  <c r="B24" i="54" s="1"/>
  <c r="D24" i="54" s="1"/>
  <c r="F24" i="54" s="1"/>
  <c r="H24" i="54" s="1"/>
  <c r="J24" i="54" s="1"/>
  <c r="L24" i="54" s="1"/>
  <c r="N24" i="54" l="1"/>
  <c r="B40" i="54" s="1"/>
  <c r="D40" i="54" s="1"/>
  <c r="F40" i="54" s="1"/>
  <c r="H40" i="54" s="1"/>
  <c r="J40" i="54" s="1"/>
  <c r="L40" i="54" s="1"/>
  <c r="N40" i="54" s="1"/>
  <c r="N6" i="52" l="1"/>
  <c r="B12" i="52" s="1"/>
  <c r="D12" i="52" s="1"/>
  <c r="F12" i="52" s="1"/>
  <c r="H12" i="52" s="1"/>
  <c r="J12" i="52" s="1"/>
  <c r="L12" i="52" s="1"/>
  <c r="N12" i="52" s="1"/>
  <c r="B21" i="52" s="1"/>
  <c r="D21" i="52" s="1"/>
  <c r="F21" i="52" s="1"/>
  <c r="H21" i="52" s="1"/>
  <c r="J21" i="52" s="1"/>
  <c r="L21" i="52" s="1"/>
  <c r="N21" i="52" s="1"/>
  <c r="B27" i="52" s="1"/>
  <c r="D27" i="52" s="1"/>
  <c r="F27" i="52" s="1"/>
  <c r="H27" i="52" s="1"/>
  <c r="J27" i="52" s="1"/>
  <c r="L27" i="52" s="1"/>
  <c r="N27" i="52" s="1"/>
  <c r="B33" i="52" s="1"/>
  <c r="D33" i="52" s="1"/>
  <c r="F33" i="52" s="1"/>
  <c r="N6" i="51" l="1"/>
  <c r="B12" i="51" s="1"/>
  <c r="D12" i="51" s="1"/>
  <c r="F12" i="51" s="1"/>
  <c r="H12" i="51" s="1"/>
  <c r="J12" i="51" s="1"/>
  <c r="L12" i="51" s="1"/>
  <c r="N12" i="51" s="1"/>
  <c r="B18" i="51" s="1"/>
  <c r="D18" i="51" s="1"/>
  <c r="F18" i="51" s="1"/>
  <c r="H18" i="51" s="1"/>
  <c r="J18" i="51" s="1"/>
  <c r="L18" i="51" s="1"/>
  <c r="N18" i="51" s="1"/>
  <c r="B24" i="51" s="1"/>
  <c r="D24" i="51" s="1"/>
  <c r="F24" i="51" s="1"/>
  <c r="H24" i="51" s="1"/>
  <c r="J24" i="51" s="1"/>
  <c r="L24" i="51" s="1"/>
  <c r="N24" i="51" s="1"/>
  <c r="B30" i="51" s="1"/>
  <c r="D30" i="51" s="1"/>
  <c r="F30" i="51" s="1"/>
  <c r="H30" i="51" s="1"/>
  <c r="N6" i="50"/>
  <c r="B12" i="50" s="1"/>
  <c r="D12" i="50" s="1"/>
  <c r="F12" i="50" s="1"/>
  <c r="H12" i="50" s="1"/>
  <c r="J12" i="50" s="1"/>
  <c r="L12" i="50" s="1"/>
  <c r="N12" i="50" s="1"/>
  <c r="J6" i="49"/>
  <c r="L6" i="49" s="1"/>
  <c r="N6" i="49" s="1"/>
  <c r="B12" i="49" s="1"/>
  <c r="D12" i="49" s="1"/>
  <c r="F12" i="49" s="1"/>
  <c r="H12" i="49" s="1"/>
  <c r="J12" i="49" s="1"/>
  <c r="L12" i="49" s="1"/>
  <c r="N12" i="49" s="1"/>
  <c r="B18" i="49" s="1"/>
  <c r="D18" i="49" s="1"/>
  <c r="F18" i="49" s="1"/>
  <c r="H18" i="49" s="1"/>
  <c r="J18" i="49" s="1"/>
  <c r="L18" i="49" s="1"/>
  <c r="N18" i="49" s="1"/>
  <c r="B24" i="49" s="1"/>
  <c r="D24" i="49" s="1"/>
  <c r="F24" i="49" s="1"/>
  <c r="H24" i="49" s="1"/>
  <c r="J24" i="49" s="1"/>
  <c r="L24" i="49" s="1"/>
  <c r="N24" i="49" s="1"/>
  <c r="B30" i="49" s="1"/>
  <c r="D30" i="49" s="1"/>
  <c r="F30" i="49" s="1"/>
  <c r="H30" i="49" s="1"/>
  <c r="J30" i="49" s="1"/>
  <c r="L30" i="49" s="1"/>
  <c r="N6" i="48"/>
  <c r="B12" i="48" s="1"/>
  <c r="N6" i="47"/>
  <c r="B12" i="47" s="1"/>
  <c r="D12" i="47" s="1"/>
  <c r="F12" i="47" s="1"/>
  <c r="H12" i="47" s="1"/>
  <c r="J12" i="47" s="1"/>
  <c r="L12" i="47" s="1"/>
  <c r="N12" i="47" s="1"/>
  <c r="B18" i="47" s="1"/>
  <c r="D18" i="47" s="1"/>
  <c r="F18" i="47" s="1"/>
  <c r="H18" i="47" s="1"/>
  <c r="J18" i="47" s="1"/>
  <c r="L18" i="47" s="1"/>
  <c r="N18" i="47" s="1"/>
  <c r="B27" i="47" s="1"/>
  <c r="D27" i="47" s="1"/>
  <c r="B12" i="46"/>
  <c r="D12" i="46" s="1"/>
  <c r="F12" i="46" s="1"/>
  <c r="H12" i="46" s="1"/>
  <c r="J12" i="46" s="1"/>
  <c r="L12" i="46" s="1"/>
  <c r="N12" i="46" s="1"/>
  <c r="B18" i="46" s="1"/>
  <c r="D18" i="46" s="1"/>
  <c r="F18" i="46" s="1"/>
  <c r="H18" i="46" s="1"/>
  <c r="J18" i="46" s="1"/>
  <c r="L18" i="46" s="1"/>
  <c r="N18" i="46" s="1"/>
  <c r="B24" i="46" s="1"/>
  <c r="D24" i="46" s="1"/>
  <c r="F24" i="46" s="1"/>
  <c r="H24" i="46" s="1"/>
  <c r="J24" i="46" s="1"/>
  <c r="L24" i="46" s="1"/>
  <c r="N24" i="46" s="1"/>
  <c r="B30" i="46" s="1"/>
  <c r="D30" i="46" s="1"/>
  <c r="F30" i="46" s="1"/>
  <c r="H30" i="46" s="1"/>
  <c r="J30" i="46" s="1"/>
  <c r="L6" i="44"/>
  <c r="N6" i="44" s="1"/>
  <c r="B12" i="44" s="1"/>
  <c r="D12" i="44" s="1"/>
  <c r="F12" i="44" s="1"/>
  <c r="H12" i="44" s="1"/>
  <c r="J12" i="44" s="1"/>
  <c r="L12" i="44" s="1"/>
  <c r="N12" i="44" s="1"/>
  <c r="B18" i="44" s="1"/>
  <c r="D18" i="44" s="1"/>
  <c r="F18" i="44" s="1"/>
  <c r="H18" i="44" s="1"/>
  <c r="J18" i="44" s="1"/>
  <c r="L18" i="44" s="1"/>
  <c r="N18" i="44" s="1"/>
  <c r="B24" i="44" s="1"/>
  <c r="D24" i="44" s="1"/>
  <c r="F24" i="44" s="1"/>
  <c r="H24" i="44" s="1"/>
  <c r="J24" i="44" s="1"/>
  <c r="L24" i="44" s="1"/>
  <c r="B14" i="43"/>
  <c r="D14" i="43" s="1"/>
  <c r="F14" i="43" s="1"/>
  <c r="H14" i="43" s="1"/>
  <c r="J14" i="43" s="1"/>
  <c r="L14" i="43" s="1"/>
  <c r="N14" i="43" s="1"/>
  <c r="B23" i="43" s="1"/>
  <c r="D23" i="43" s="1"/>
  <c r="F23" i="43" s="1"/>
  <c r="H23" i="43" s="1"/>
  <c r="J23" i="43" s="1"/>
  <c r="L23" i="43" s="1"/>
  <c r="N23" i="43" s="1"/>
  <c r="B29" i="43" s="1"/>
  <c r="D29" i="43" s="1"/>
  <c r="F29" i="43" s="1"/>
  <c r="H29" i="43" s="1"/>
  <c r="J29" i="43" s="1"/>
  <c r="L29" i="43" s="1"/>
  <c r="N29" i="43" s="1"/>
  <c r="B35" i="43" s="1"/>
  <c r="D35" i="43" s="1"/>
  <c r="F35" i="43" s="1"/>
  <c r="H35" i="43" s="1"/>
  <c r="J35" i="43" s="1"/>
  <c r="D12" i="48" l="1"/>
  <c r="F12" i="48" s="1"/>
  <c r="H12" i="48" s="1"/>
  <c r="J12" i="48" s="1"/>
  <c r="L12" i="48" s="1"/>
  <c r="N12" i="48" s="1"/>
  <c r="B18" i="48" s="1"/>
  <c r="D18" i="48" s="1"/>
  <c r="F18" i="48" s="1"/>
  <c r="H18" i="48" s="1"/>
  <c r="J18" i="48" s="1"/>
  <c r="L18" i="48" s="1"/>
  <c r="N18" i="48" s="1"/>
  <c r="B24" i="48" s="1"/>
  <c r="D24" i="48" s="1"/>
  <c r="F24" i="48" s="1"/>
  <c r="H24" i="48" s="1"/>
  <c r="J24" i="48" s="1"/>
  <c r="L24" i="48" s="1"/>
  <c r="N24" i="48" s="1"/>
  <c r="B30" i="48" s="1"/>
  <c r="D30" i="48" s="1"/>
  <c r="F30" i="48" s="1"/>
  <c r="F27" i="47"/>
  <c r="H27" i="47" s="1"/>
  <c r="J27" i="47" s="1"/>
  <c r="L27" i="47" s="1"/>
  <c r="N27" i="47" s="1"/>
  <c r="B33" i="47" s="1"/>
  <c r="D33" i="47" s="1"/>
  <c r="F33" i="47" s="1"/>
  <c r="H33" i="47" s="1"/>
  <c r="J33" i="47" s="1"/>
  <c r="L33" i="47" s="1"/>
  <c r="N33" i="47" s="1"/>
  <c r="B39" i="47" s="1"/>
  <c r="B18" i="50"/>
  <c r="N24" i="44"/>
  <c r="B30" i="44" s="1"/>
  <c r="D30" i="44" s="1"/>
  <c r="F30" i="44" s="1"/>
  <c r="H30" i="44" s="1"/>
  <c r="J30" i="44" s="1"/>
  <c r="L30" i="44" s="1"/>
  <c r="N30" i="44" s="1"/>
  <c r="B37" i="44" s="1"/>
  <c r="D18" i="50" l="1"/>
  <c r="F18" i="50" s="1"/>
  <c r="H18" i="50" s="1"/>
  <c r="J18" i="50" s="1"/>
  <c r="L18" i="50" s="1"/>
  <c r="N18" i="50" s="1"/>
  <c r="B26" i="50" s="1"/>
  <c r="D26" i="50" s="1"/>
  <c r="F26" i="50" s="1"/>
  <c r="H26" i="50" s="1"/>
  <c r="J26" i="50" s="1"/>
  <c r="L26" i="50" s="1"/>
  <c r="N26" i="50" s="1"/>
  <c r="B32" i="50" s="1"/>
  <c r="D32" i="50" s="1"/>
</calcChain>
</file>

<file path=xl/sharedStrings.xml><?xml version="1.0" encoding="utf-8"?>
<sst xmlns="http://schemas.openxmlformats.org/spreadsheetml/2006/main" count="1543" uniqueCount="364">
  <si>
    <t>합계금액</t>
    <phoneticPr fontId="1" type="noConversion"/>
  </si>
  <si>
    <t>월</t>
    <phoneticPr fontId="1" type="noConversion"/>
  </si>
  <si>
    <t>목</t>
    <phoneticPr fontId="1" type="noConversion"/>
  </si>
  <si>
    <t>금</t>
    <phoneticPr fontId="1" type="noConversion"/>
  </si>
  <si>
    <t>일</t>
    <phoneticPr fontId="1" type="noConversion"/>
  </si>
  <si>
    <t>화</t>
    <phoneticPr fontId="1" type="noConversion"/>
  </si>
  <si>
    <t>수</t>
    <phoneticPr fontId="1" type="noConversion"/>
  </si>
  <si>
    <t>토</t>
    <phoneticPr fontId="1" type="noConversion"/>
  </si>
  <si>
    <t>숙박 이용현황</t>
    <phoneticPr fontId="1" type="noConversion"/>
  </si>
  <si>
    <t>숙박일수</t>
    <phoneticPr fontId="1" type="noConversion"/>
  </si>
  <si>
    <t>총 금액</t>
    <phoneticPr fontId="1" type="noConversion"/>
  </si>
  <si>
    <t>일</t>
    <phoneticPr fontId="1" type="noConversion"/>
  </si>
  <si>
    <t>DECEMBER. 2025</t>
    <phoneticPr fontId="1" type="noConversion"/>
  </si>
  <si>
    <t>JANUARY. 2026</t>
    <phoneticPr fontId="1" type="noConversion"/>
  </si>
  <si>
    <t>FEBRUARY. 2026</t>
    <phoneticPr fontId="1" type="noConversion"/>
  </si>
  <si>
    <t>MARCH. 2026</t>
    <phoneticPr fontId="1" type="noConversion"/>
  </si>
  <si>
    <t>APRIL. 2026</t>
    <phoneticPr fontId="1" type="noConversion"/>
  </si>
  <si>
    <t>MAY. 2026</t>
    <phoneticPr fontId="1" type="noConversion"/>
  </si>
  <si>
    <t>JUNE. 2026</t>
    <phoneticPr fontId="1" type="noConversion"/>
  </si>
  <si>
    <t>JULY. 2026</t>
    <phoneticPr fontId="1" type="noConversion"/>
  </si>
  <si>
    <t>AUGUST. 2026</t>
    <phoneticPr fontId="1" type="noConversion"/>
  </si>
  <si>
    <t>SEPTEMBER. 2026</t>
    <phoneticPr fontId="1" type="noConversion"/>
  </si>
  <si>
    <t>OCTOBER. 2026</t>
    <phoneticPr fontId="1" type="noConversion"/>
  </si>
  <si>
    <t>NOVEMBER. 2026</t>
    <phoneticPr fontId="1" type="noConversion"/>
  </si>
  <si>
    <t>용역명</t>
  </si>
  <si>
    <t>숙     소</t>
  </si>
  <si>
    <t>아크모스 호텔</t>
    <phoneticPr fontId="1" type="noConversion"/>
  </si>
  <si>
    <t>이 용 자</t>
  </si>
  <si>
    <t>김주성 이사</t>
    <phoneticPr fontId="1" type="noConversion"/>
  </si>
  <si>
    <t>룸 TYPE</t>
  </si>
  <si>
    <t>1 Standard Room</t>
    <phoneticPr fontId="1" type="noConversion"/>
  </si>
  <si>
    <t>숙박기간</t>
    <phoneticPr fontId="1" type="noConversion"/>
  </si>
  <si>
    <t>금     액</t>
  </si>
  <si>
    <t>88,000원/1박</t>
    <phoneticPr fontId="1" type="noConversion"/>
  </si>
  <si>
    <t>제안서작성</t>
    <phoneticPr fontId="1" type="noConversion"/>
  </si>
  <si>
    <t>최동환 부장</t>
    <phoneticPr fontId="1" type="noConversion"/>
  </si>
  <si>
    <t>01/08~01/09 (1박2일)</t>
    <phoneticPr fontId="1" type="noConversion"/>
  </si>
  <si>
    <t>김주성</t>
    <phoneticPr fontId="1" type="noConversion"/>
  </si>
  <si>
    <t>최동환</t>
    <phoneticPr fontId="1" type="noConversion"/>
  </si>
  <si>
    <t>용역명</t>
    <phoneticPr fontId="1" type="noConversion"/>
  </si>
  <si>
    <t>아크모스 호텔</t>
    <phoneticPr fontId="1" type="noConversion"/>
  </si>
  <si>
    <t>신경철 상무(단장)</t>
    <phoneticPr fontId="1" type="noConversion"/>
  </si>
  <si>
    <t>1 Standard Room</t>
    <phoneticPr fontId="1" type="noConversion"/>
  </si>
  <si>
    <t>숙박기간</t>
  </si>
  <si>
    <t>88,000원/1박</t>
    <phoneticPr fontId="1" type="noConversion"/>
  </si>
  <si>
    <t>면접일시</t>
  </si>
  <si>
    <t>서부산 행정복합타운/조달청</t>
    <phoneticPr fontId="1" type="noConversion"/>
  </si>
  <si>
    <t>01/12~01/13 (1박2일)</t>
    <phoneticPr fontId="1" type="noConversion"/>
  </si>
  <si>
    <t>345kV 남양주변전소/한전</t>
    <phoneticPr fontId="1" type="noConversion"/>
  </si>
  <si>
    <t>신경철</t>
    <phoneticPr fontId="1" type="noConversion"/>
  </si>
  <si>
    <t>한승환</t>
    <phoneticPr fontId="1" type="noConversion"/>
  </si>
  <si>
    <t>한승환 상무(토목)</t>
    <phoneticPr fontId="1" type="noConversion"/>
  </si>
  <si>
    <t>김재준</t>
    <phoneticPr fontId="1" type="noConversion"/>
  </si>
  <si>
    <t>01/12~01/15 (3박4일)</t>
    <phoneticPr fontId="1" type="noConversion"/>
  </si>
  <si>
    <t>이태옥 상무</t>
    <phoneticPr fontId="1" type="noConversion"/>
  </si>
  <si>
    <t>01/21~01/23 (2박3일)</t>
    <phoneticPr fontId="1" type="noConversion"/>
  </si>
  <si>
    <t>구인호 상무</t>
    <phoneticPr fontId="1" type="noConversion"/>
  </si>
  <si>
    <t>김용민 상무</t>
    <phoneticPr fontId="1" type="noConversion"/>
  </si>
  <si>
    <t>이기영 상무</t>
    <phoneticPr fontId="1" type="noConversion"/>
  </si>
  <si>
    <t>이광택 상무</t>
    <phoneticPr fontId="1" type="noConversion"/>
  </si>
  <si>
    <t>김지훈 상무</t>
    <phoneticPr fontId="1" type="noConversion"/>
  </si>
  <si>
    <t>BIM 교육</t>
    <phoneticPr fontId="1" type="noConversion"/>
  </si>
  <si>
    <t>이태옥</t>
    <phoneticPr fontId="1" type="noConversion"/>
  </si>
  <si>
    <t>구인호</t>
    <phoneticPr fontId="1" type="noConversion"/>
  </si>
  <si>
    <t>김용민</t>
    <phoneticPr fontId="1" type="noConversion"/>
  </si>
  <si>
    <t>이기영</t>
    <phoneticPr fontId="1" type="noConversion"/>
  </si>
  <si>
    <t>이광택</t>
    <phoneticPr fontId="1" type="noConversion"/>
  </si>
  <si>
    <t>김지훈</t>
    <phoneticPr fontId="1" type="noConversion"/>
  </si>
  <si>
    <t>01/19~01/23 (4박5일)</t>
    <phoneticPr fontId="1" type="noConversion"/>
  </si>
  <si>
    <t>01/19~01/21 (2박3일)</t>
    <phoneticPr fontId="1" type="noConversion"/>
  </si>
  <si>
    <t>이승철 상무</t>
    <phoneticPr fontId="1" type="noConversion"/>
  </si>
  <si>
    <t>정연일 전무</t>
    <phoneticPr fontId="1" type="noConversion"/>
  </si>
  <si>
    <t>정연일</t>
    <phoneticPr fontId="1" type="noConversion"/>
  </si>
  <si>
    <t>이승철</t>
    <phoneticPr fontId="1" type="noConversion"/>
  </si>
  <si>
    <t>하승우</t>
    <phoneticPr fontId="1" type="noConversion"/>
  </si>
  <si>
    <t>하승우 이사</t>
    <phoneticPr fontId="1" type="noConversion"/>
  </si>
  <si>
    <t>이영열</t>
    <phoneticPr fontId="1" type="noConversion"/>
  </si>
  <si>
    <t>이영얼</t>
    <phoneticPr fontId="1" type="noConversion"/>
  </si>
  <si>
    <t>이영열 상무</t>
    <phoneticPr fontId="1" type="noConversion"/>
  </si>
  <si>
    <t>장준호 전무</t>
    <phoneticPr fontId="1" type="noConversion"/>
  </si>
  <si>
    <t>01/22~01/23 (1박2일)</t>
    <phoneticPr fontId="1" type="noConversion"/>
  </si>
  <si>
    <t>장준호</t>
    <phoneticPr fontId="1" type="noConversion"/>
  </si>
  <si>
    <t>용역명</t>
    <phoneticPr fontId="1" type="noConversion"/>
  </si>
  <si>
    <t>아크모스 호텔</t>
    <phoneticPr fontId="1" type="noConversion"/>
  </si>
  <si>
    <t>이현승 상무(단장)</t>
  </si>
  <si>
    <t>1 Standard Room</t>
    <phoneticPr fontId="1" type="noConversion"/>
  </si>
  <si>
    <t>88,000원/1박</t>
    <phoneticPr fontId="1" type="noConversion"/>
  </si>
  <si>
    <t>이현승</t>
    <phoneticPr fontId="1" type="noConversion"/>
  </si>
  <si>
    <t>01/22~01/23 (1박2일)</t>
    <phoneticPr fontId="1" type="noConversion"/>
  </si>
  <si>
    <t>01/21~01/23 (2박3일)</t>
    <phoneticPr fontId="1" type="noConversion"/>
  </si>
  <si>
    <t>01/21~01/27 (6박7일)</t>
    <phoneticPr fontId="1" type="noConversion"/>
  </si>
  <si>
    <t>산곡6구역 주택재개발 외1/인천부평</t>
    <phoneticPr fontId="1" type="noConversion"/>
  </si>
  <si>
    <t>01/26~01/30 (4박5일)</t>
    <phoneticPr fontId="1" type="noConversion"/>
  </si>
  <si>
    <t>김재준 상무(단장)</t>
    <phoneticPr fontId="1" type="noConversion"/>
  </si>
  <si>
    <t>01/25~01/27 (2박3일)</t>
    <phoneticPr fontId="1" type="noConversion"/>
  </si>
  <si>
    <t>01/27~01/28 (1박2일)</t>
    <phoneticPr fontId="1" type="noConversion"/>
  </si>
  <si>
    <t>단장 워크샵</t>
    <phoneticPr fontId="1" type="noConversion"/>
  </si>
  <si>
    <t>윤성훈</t>
    <phoneticPr fontId="1" type="noConversion"/>
  </si>
  <si>
    <t>01/30~01/31 (1박2일)</t>
    <phoneticPr fontId="1" type="noConversion"/>
  </si>
  <si>
    <t>01/28~01/29 (1박2일)</t>
    <phoneticPr fontId="1" type="noConversion"/>
  </si>
  <si>
    <t>서부산 행정복합타운 외1/조달청</t>
    <phoneticPr fontId="1" type="noConversion"/>
  </si>
  <si>
    <t>01/29~01/30 (1박2일)</t>
    <phoneticPr fontId="1" type="noConversion"/>
  </si>
  <si>
    <t>01/29~01/31 (2박3일)</t>
    <phoneticPr fontId="1" type="noConversion"/>
  </si>
  <si>
    <t>도신영 차장</t>
    <phoneticPr fontId="1" type="noConversion"/>
  </si>
  <si>
    <t>도신영</t>
    <phoneticPr fontId="1" type="noConversion"/>
  </si>
  <si>
    <t>윤성훈 상무</t>
    <phoneticPr fontId="1" type="noConversion"/>
  </si>
  <si>
    <t>서원 국민체육센터/지자체</t>
    <phoneticPr fontId="1" type="noConversion"/>
  </si>
  <si>
    <t>김주성 이사</t>
    <phoneticPr fontId="1" type="noConversion"/>
  </si>
  <si>
    <t>최동환 부장</t>
    <phoneticPr fontId="1" type="noConversion"/>
  </si>
  <si>
    <t>신경철 상무</t>
    <phoneticPr fontId="1" type="noConversion"/>
  </si>
  <si>
    <t>한승환 상무</t>
    <phoneticPr fontId="1" type="noConversion"/>
  </si>
  <si>
    <t>김재준 상무</t>
    <phoneticPr fontId="1" type="noConversion"/>
  </si>
  <si>
    <t>이태옥 상무</t>
    <phoneticPr fontId="1" type="noConversion"/>
  </si>
  <si>
    <t>구인호 상무</t>
    <phoneticPr fontId="1" type="noConversion"/>
  </si>
  <si>
    <t>김용민 상무</t>
    <phoneticPr fontId="1" type="noConversion"/>
  </si>
  <si>
    <t>이기영 상무</t>
    <phoneticPr fontId="1" type="noConversion"/>
  </si>
  <si>
    <t>이광택 상무</t>
    <phoneticPr fontId="1" type="noConversion"/>
  </si>
  <si>
    <t>김지훈 상무</t>
    <phoneticPr fontId="1" type="noConversion"/>
  </si>
  <si>
    <t>장준호 전무</t>
    <phoneticPr fontId="1" type="noConversion"/>
  </si>
  <si>
    <t>이승철 상무</t>
    <phoneticPr fontId="1" type="noConversion"/>
  </si>
  <si>
    <t>정연일 전무</t>
    <phoneticPr fontId="1" type="noConversion"/>
  </si>
  <si>
    <t>하승우 이사</t>
    <phoneticPr fontId="1" type="noConversion"/>
  </si>
  <si>
    <t>이영일 상무</t>
    <phoneticPr fontId="1" type="noConversion"/>
  </si>
  <si>
    <t>이현승 상무</t>
    <phoneticPr fontId="1" type="noConversion"/>
  </si>
  <si>
    <t>윤성훈 상무</t>
    <phoneticPr fontId="1" type="noConversion"/>
  </si>
  <si>
    <t>도신영 차장</t>
    <phoneticPr fontId="1" type="noConversion"/>
  </si>
  <si>
    <t>공휴일요금(24일) 11만(VAT포함) x 1명</t>
    <phoneticPr fontId="1" type="noConversion"/>
  </si>
  <si>
    <t>월</t>
  </si>
  <si>
    <t>1월</t>
  </si>
  <si>
    <t>2월</t>
  </si>
  <si>
    <t>3월</t>
  </si>
  <si>
    <t>4월</t>
  </si>
  <si>
    <t>5월</t>
  </si>
  <si>
    <t>6월</t>
  </si>
  <si>
    <t>숙박일수</t>
  </si>
  <si>
    <t>총 금액</t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</si>
  <si>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</si>
  <si>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</si>
  <si>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</si>
  <si>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</si>
  <si>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</si>
  <si>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</si>
  <si>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56박</t>
    <phoneticPr fontId="1" type="noConversion"/>
  </si>
  <si>
    <t>용역명</t>
    <phoneticPr fontId="1" type="noConversion"/>
  </si>
  <si>
    <t>공유성 상무(단장)</t>
    <phoneticPr fontId="1" type="noConversion"/>
  </si>
  <si>
    <t>88,000원/1박</t>
    <phoneticPr fontId="1" type="noConversion"/>
  </si>
  <si>
    <t>서원 국민체육센터 / 지자체</t>
    <phoneticPr fontId="1" type="noConversion"/>
  </si>
  <si>
    <t>김영국 상무(안전)</t>
    <phoneticPr fontId="1" type="noConversion"/>
  </si>
  <si>
    <t>154kV 상운SS / 한전</t>
    <phoneticPr fontId="1" type="noConversion"/>
  </si>
  <si>
    <t>공유성</t>
    <phoneticPr fontId="1" type="noConversion"/>
  </si>
  <si>
    <t>김영국</t>
    <phoneticPr fontId="1" type="noConversion"/>
  </si>
  <si>
    <t>02/02~02/06 (4박5일)</t>
    <phoneticPr fontId="1" type="noConversion"/>
  </si>
  <si>
    <t>02/02~02/04 (2박3일)</t>
    <phoneticPr fontId="1" type="noConversion"/>
  </si>
  <si>
    <t>02/04~02/05 (1박2일)</t>
    <phoneticPr fontId="1" type="noConversion"/>
  </si>
  <si>
    <t>충주 시민의 숲 목재문화관/지자체</t>
    <phoneticPr fontId="1" type="noConversion"/>
  </si>
  <si>
    <t>김기욱</t>
    <phoneticPr fontId="1" type="noConversion"/>
  </si>
  <si>
    <t>김기욱 상무(단장)</t>
    <phoneticPr fontId="1" type="noConversion"/>
  </si>
  <si>
    <t>02/09~02/12 (3박4일)</t>
    <phoneticPr fontId="1" type="noConversion"/>
  </si>
  <si>
    <t>A005 / 국방부</t>
    <phoneticPr fontId="1" type="noConversion"/>
  </si>
  <si>
    <t>김지훈 상무(단장)</t>
    <phoneticPr fontId="1" type="noConversion"/>
  </si>
  <si>
    <t>국방부 워크샵</t>
    <phoneticPr fontId="1" type="noConversion"/>
  </si>
  <si>
    <t>국방부 매뉴얼 작성/워크샵</t>
    <phoneticPr fontId="1" type="noConversion"/>
  </si>
  <si>
    <t>02/27~02/28 (1박2일)</t>
    <phoneticPr fontId="1" type="noConversion"/>
  </si>
  <si>
    <t>이재민 상무</t>
    <phoneticPr fontId="1" type="noConversion"/>
  </si>
  <si>
    <t>김용욱 상무</t>
    <phoneticPr fontId="1" type="noConversion"/>
  </si>
  <si>
    <t>권해철 상무</t>
    <phoneticPr fontId="1" type="noConversion"/>
  </si>
  <si>
    <t>이승철 상무</t>
    <phoneticPr fontId="1" type="noConversion"/>
  </si>
  <si>
    <t>02/23~02/28 (5박6일)</t>
    <phoneticPr fontId="1" type="noConversion"/>
  </si>
  <si>
    <t>하승우 이사</t>
    <phoneticPr fontId="1" type="noConversion"/>
  </si>
  <si>
    <t>이영열 이사</t>
    <phoneticPr fontId="1" type="noConversion"/>
  </si>
  <si>
    <t>이재민</t>
    <phoneticPr fontId="1" type="noConversion"/>
  </si>
  <si>
    <t>김용욱</t>
    <phoneticPr fontId="1" type="noConversion"/>
  </si>
  <si>
    <t>권해철</t>
    <phoneticPr fontId="1" type="noConversion"/>
  </si>
  <si>
    <t>이승철</t>
    <phoneticPr fontId="1" type="noConversion"/>
  </si>
  <si>
    <t>이광택</t>
    <phoneticPr fontId="1" type="noConversion"/>
  </si>
  <si>
    <t>154kV 학운SS / 한전</t>
    <phoneticPr fontId="1" type="noConversion"/>
  </si>
  <si>
    <t>허석준 상무(안전)</t>
    <phoneticPr fontId="1" type="noConversion"/>
  </si>
  <si>
    <t>02/25~02/26 (1박2일)</t>
    <phoneticPr fontId="1" type="noConversion"/>
  </si>
  <si>
    <t>허석준</t>
    <phoneticPr fontId="1" type="noConversion"/>
  </si>
  <si>
    <t>02/25~02/27 (2박3일)</t>
    <phoneticPr fontId="1" type="noConversion"/>
  </si>
  <si>
    <t>황창석</t>
    <phoneticPr fontId="1" type="noConversion"/>
  </si>
  <si>
    <t>쌍문1동 공공복합청사 / 서울시</t>
    <phoneticPr fontId="1" type="noConversion"/>
  </si>
  <si>
    <t>의정부법조타운 / LH</t>
    <phoneticPr fontId="1" type="noConversion"/>
  </si>
  <si>
    <t>02/26~02/27 (1박2일)</t>
    <phoneticPr fontId="1" type="noConversion"/>
  </si>
  <si>
    <t>아산 온천동 14-7번지 주상복합/아산시</t>
    <phoneticPr fontId="1" type="noConversion"/>
  </si>
  <si>
    <t>02/26~03/05 (7박8일)</t>
    <phoneticPr fontId="1" type="noConversion"/>
  </si>
  <si>
    <t>황창석 상무(단장)</t>
    <phoneticPr fontId="1" type="noConversion"/>
  </si>
  <si>
    <t>03/03~03/06 (3박4일)</t>
    <phoneticPr fontId="1" type="noConversion"/>
  </si>
  <si>
    <t>신경철 상무(단장)</t>
    <phoneticPr fontId="1" type="noConversion"/>
  </si>
  <si>
    <t>공유성 상무</t>
    <phoneticPr fontId="1" type="noConversion"/>
  </si>
  <si>
    <t>김영국 상무</t>
    <phoneticPr fontId="1" type="noConversion"/>
  </si>
  <si>
    <t>최동환 부장</t>
    <phoneticPr fontId="1" type="noConversion"/>
  </si>
  <si>
    <t>이태옥 상무</t>
    <phoneticPr fontId="1" type="noConversion"/>
  </si>
  <si>
    <t>김기욱 상무</t>
    <phoneticPr fontId="1" type="noConversion"/>
  </si>
  <si>
    <t>김지훈 상무</t>
    <phoneticPr fontId="1" type="noConversion"/>
  </si>
  <si>
    <t>허석준 상무</t>
    <phoneticPr fontId="1" type="noConversion"/>
  </si>
  <si>
    <t>이재민 상무</t>
    <phoneticPr fontId="1" type="noConversion"/>
  </si>
  <si>
    <t>김용욱 상무</t>
    <phoneticPr fontId="1" type="noConversion"/>
  </si>
  <si>
    <t>권해철 상무</t>
    <phoneticPr fontId="1" type="noConversion"/>
  </si>
  <si>
    <t>이승철 상무</t>
    <phoneticPr fontId="1" type="noConversion"/>
  </si>
  <si>
    <t>이광택 상무</t>
    <phoneticPr fontId="1" type="noConversion"/>
  </si>
  <si>
    <t>하승우 이사</t>
    <phoneticPr fontId="1" type="noConversion"/>
  </si>
  <si>
    <t>이영열 이사</t>
    <phoneticPr fontId="1" type="noConversion"/>
  </si>
  <si>
    <t>장준호 전무</t>
    <phoneticPr fontId="1" type="noConversion"/>
  </si>
  <si>
    <t>정연일 전무</t>
    <phoneticPr fontId="1" type="noConversion"/>
  </si>
  <si>
    <t>정연일 전무</t>
    <phoneticPr fontId="1" type="noConversion"/>
  </si>
  <si>
    <t>황창석 상무</t>
    <phoneticPr fontId="1" type="noConversion"/>
  </si>
  <si>
    <t xml:space="preserve">신경철 상무 </t>
    <phoneticPr fontId="1" type="noConversion"/>
  </si>
  <si>
    <t>이현승 상무</t>
    <phoneticPr fontId="1" type="noConversion"/>
  </si>
  <si>
    <t>02/03~02/06 (3박4일)</t>
    <phoneticPr fontId="1" type="noConversion"/>
  </si>
  <si>
    <t>110,000원/1박</t>
    <phoneticPr fontId="1" type="noConversion"/>
  </si>
  <si>
    <t>김영진 전무</t>
    <phoneticPr fontId="1" type="noConversion"/>
  </si>
  <si>
    <t>김영진 전무 외1</t>
    <phoneticPr fontId="1" type="noConversion"/>
  </si>
  <si>
    <t>공휴일요금(28일) 11만(VAT포함) x 1명+
특실(2인 숙박) 11반(VAT포함)</t>
    <phoneticPr fontId="1" type="noConversion"/>
  </si>
  <si>
    <t>37박</t>
    <phoneticPr fontId="1" type="noConversion"/>
  </si>
  <si>
    <t>03/05~03/06 (1박2일)</t>
    <phoneticPr fontId="1" type="noConversion"/>
  </si>
  <si>
    <t>03/09~03/10 (1박2일)</t>
    <phoneticPr fontId="1" type="noConversion"/>
  </si>
  <si>
    <t>이기영 상무(토목)</t>
    <phoneticPr fontId="1" type="noConversion"/>
  </si>
  <si>
    <t>A024 / 국방부</t>
    <phoneticPr fontId="1" type="noConversion"/>
  </si>
  <si>
    <t>03/18~03/20 (2박3일)</t>
    <phoneticPr fontId="1" type="noConversion"/>
  </si>
  <si>
    <t>이광택 상무(건축)</t>
    <phoneticPr fontId="1" type="noConversion"/>
  </si>
  <si>
    <t>03/18~03/19 (1박2일)</t>
    <phoneticPr fontId="1" type="noConversion"/>
  </si>
  <si>
    <t>기상청 국가기상센터 / 기상청</t>
    <phoneticPr fontId="1" type="noConversion"/>
  </si>
  <si>
    <t>03/19~03/20 (1박2일)</t>
    <phoneticPr fontId="1" type="noConversion"/>
  </si>
  <si>
    <t>공유성</t>
    <phoneticPr fontId="1" type="noConversion"/>
  </si>
  <si>
    <t>03/23~03/24 (1박2일)</t>
    <phoneticPr fontId="1" type="noConversion"/>
  </si>
  <si>
    <t>정영석</t>
    <phoneticPr fontId="1" type="noConversion"/>
  </si>
  <si>
    <t>정영석 이사(단장)</t>
    <phoneticPr fontId="1" type="noConversion"/>
  </si>
  <si>
    <t>양구 평화빌리지/양구군</t>
    <phoneticPr fontId="1" type="noConversion"/>
  </si>
  <si>
    <t>03/29~04/03 (6박7일)</t>
    <phoneticPr fontId="1" type="noConversion"/>
  </si>
  <si>
    <t>03/26~03/27 (1박2일)</t>
    <phoneticPr fontId="1" type="noConversion"/>
  </si>
  <si>
    <t>03/30~04/02 (3박4일)</t>
    <phoneticPr fontId="1" type="noConversion"/>
  </si>
  <si>
    <t>이현승 상무</t>
    <phoneticPr fontId="1" type="noConversion"/>
  </si>
  <si>
    <t>신경철 상무</t>
    <phoneticPr fontId="1" type="noConversion"/>
  </si>
  <si>
    <t>최동환 부장</t>
    <phoneticPr fontId="1" type="noConversion"/>
  </si>
  <si>
    <t>이기영 상무</t>
    <phoneticPr fontId="1" type="noConversion"/>
  </si>
  <si>
    <t>이광택 상무</t>
    <phoneticPr fontId="1" type="noConversion"/>
  </si>
  <si>
    <t>공유성 상무</t>
    <phoneticPr fontId="1" type="noConversion"/>
  </si>
  <si>
    <t>정영석 이사</t>
    <phoneticPr fontId="1" type="noConversion"/>
  </si>
  <si>
    <t>03/03~03/06 (3박4일)</t>
    <phoneticPr fontId="1" type="noConversion"/>
  </si>
  <si>
    <t>황창석 상무</t>
    <phoneticPr fontId="1" type="noConversion"/>
  </si>
  <si>
    <t>23박</t>
    <phoneticPr fontId="1" type="noConversion"/>
  </si>
  <si>
    <t>04/02~04/03 (1박2일)</t>
    <phoneticPr fontId="1" type="noConversion"/>
  </si>
  <si>
    <t>04/06~04/10 (4박5일)</t>
    <phoneticPr fontId="1" type="noConversion"/>
  </si>
  <si>
    <t>03/29~04/02 (5박6일)</t>
    <phoneticPr fontId="1" type="noConversion"/>
  </si>
  <si>
    <t>이상영</t>
    <phoneticPr fontId="1" type="noConversion"/>
  </si>
  <si>
    <t>이상영 상무(토목)</t>
    <phoneticPr fontId="1" type="noConversion"/>
  </si>
  <si>
    <t>원당복합커뮤니티센터 / 고양시</t>
    <phoneticPr fontId="1" type="noConversion"/>
  </si>
  <si>
    <t>아크모스 호텔</t>
    <phoneticPr fontId="1" type="noConversion"/>
  </si>
  <si>
    <t>1 Standard Room</t>
    <phoneticPr fontId="1" type="noConversion"/>
  </si>
  <si>
    <t>숙박기간</t>
    <phoneticPr fontId="1" type="noConversion"/>
  </si>
  <si>
    <t>88,000원/1박</t>
    <phoneticPr fontId="1" type="noConversion"/>
  </si>
  <si>
    <t>제안서작성</t>
    <phoneticPr fontId="1" type="noConversion"/>
  </si>
  <si>
    <t>원당복합커뮤니티센터/고양시</t>
    <phoneticPr fontId="1" type="noConversion"/>
  </si>
  <si>
    <t>도신영 차장</t>
    <phoneticPr fontId="1" type="noConversion"/>
  </si>
  <si>
    <t>04/07~04/08 (1박2일)</t>
    <phoneticPr fontId="1" type="noConversion"/>
  </si>
  <si>
    <t>도신영</t>
    <phoneticPr fontId="1" type="noConversion"/>
  </si>
  <si>
    <t>A032(사업준비) / 국방부</t>
    <phoneticPr fontId="1" type="noConversion"/>
  </si>
  <si>
    <t>이동관</t>
    <phoneticPr fontId="1" type="noConversion"/>
  </si>
  <si>
    <t>04/08~04/09 (1박2일)</t>
    <phoneticPr fontId="1" type="noConversion"/>
  </si>
  <si>
    <t>이동관 상무(건축)</t>
    <phoneticPr fontId="1" type="noConversion"/>
  </si>
  <si>
    <t>04/08~04/09 (1박2일)</t>
    <phoneticPr fontId="1" type="noConversion"/>
  </si>
  <si>
    <t>04/08~04/09 (1박2일)</t>
    <phoneticPr fontId="1" type="noConversion"/>
  </si>
  <si>
    <t>04/13~04/17 (4박5일)</t>
    <phoneticPr fontId="1" type="noConversion"/>
  </si>
  <si>
    <t>04/13~04/16 (3박4일)</t>
    <phoneticPr fontId="1" type="noConversion"/>
  </si>
  <si>
    <t>04/13~04/16 (3박4일)</t>
    <phoneticPr fontId="1" type="noConversion"/>
  </si>
  <si>
    <t>04/16~04/17 (1박2일)</t>
    <phoneticPr fontId="1" type="noConversion"/>
  </si>
  <si>
    <t>04/23~04/24 (1박2일)</t>
    <phoneticPr fontId="1" type="noConversion"/>
  </si>
  <si>
    <t>전상열</t>
    <phoneticPr fontId="1" type="noConversion"/>
  </si>
  <si>
    <t>전상열 상무(단장)</t>
    <phoneticPr fontId="1" type="noConversion"/>
  </si>
  <si>
    <t>동송도변전소 / 한전</t>
    <phoneticPr fontId="1" type="noConversion"/>
  </si>
  <si>
    <t>정영석 이사</t>
    <phoneticPr fontId="1" type="noConversion"/>
  </si>
  <si>
    <t>공유성 상무</t>
    <phoneticPr fontId="1" type="noConversion"/>
  </si>
  <si>
    <t>이상영 상무</t>
    <phoneticPr fontId="1" type="noConversion"/>
  </si>
  <si>
    <t>최동환 부장</t>
    <phoneticPr fontId="1" type="noConversion"/>
  </si>
  <si>
    <t>도신영 차장</t>
    <phoneticPr fontId="1" type="noConversion"/>
  </si>
  <si>
    <t>김지훈 상무</t>
    <phoneticPr fontId="1" type="noConversion"/>
  </si>
  <si>
    <t>이동관 상무</t>
    <phoneticPr fontId="1" type="noConversion"/>
  </si>
  <si>
    <t>전상열 상무</t>
    <phoneticPr fontId="1" type="noConversion"/>
  </si>
  <si>
    <t>34박</t>
    <phoneticPr fontId="1" type="noConversion"/>
  </si>
  <si>
    <t>05/08~05/09 (1박2일)</t>
    <phoneticPr fontId="1" type="noConversion"/>
  </si>
  <si>
    <t>A093 / 국방부</t>
    <phoneticPr fontId="1" type="noConversion"/>
  </si>
  <si>
    <t>04/13~04/14 (1박2일)</t>
    <phoneticPr fontId="1" type="noConversion"/>
  </si>
  <si>
    <t>밀양연극교육체험관 등/지자체</t>
    <phoneticPr fontId="1" type="noConversion"/>
  </si>
  <si>
    <t>-</t>
    <phoneticPr fontId="1" type="noConversion"/>
  </si>
  <si>
    <t>05/14~05/15 (1박2일)</t>
    <phoneticPr fontId="1" type="noConversion"/>
  </si>
  <si>
    <t>박세진</t>
    <phoneticPr fontId="1" type="noConversion"/>
  </si>
  <si>
    <t>154kV 서충주S/S/한전</t>
    <phoneticPr fontId="1" type="noConversion"/>
  </si>
  <si>
    <t>박세진 부장(건축)</t>
    <phoneticPr fontId="1" type="noConversion"/>
  </si>
  <si>
    <t>05/18~05/22 (4박5일)</t>
    <phoneticPr fontId="1" type="noConversion"/>
  </si>
  <si>
    <t>05/12~05/13 (1박2일)</t>
    <phoneticPr fontId="1" type="noConversion"/>
  </si>
  <si>
    <t>05/14~05/15 (1박2일)</t>
    <phoneticPr fontId="1" type="noConversion"/>
  </si>
  <si>
    <t>05/26~05/29 (3박4일)</t>
    <phoneticPr fontId="1" type="noConversion"/>
  </si>
  <si>
    <t>임태균 상무</t>
    <phoneticPr fontId="1" type="noConversion"/>
  </si>
  <si>
    <t>06/01~06/02 (1박2일)</t>
    <phoneticPr fontId="1" type="noConversion"/>
  </si>
  <si>
    <t>김해 반다비 체육센터/김해시</t>
    <phoneticPr fontId="1" type="noConversion"/>
  </si>
  <si>
    <t>06/01~06/05 (4박5일)</t>
    <phoneticPr fontId="1" type="noConversion"/>
  </si>
  <si>
    <t>임태균</t>
    <phoneticPr fontId="1" type="noConversion"/>
  </si>
  <si>
    <t>도신영 차장</t>
    <phoneticPr fontId="1" type="noConversion"/>
  </si>
  <si>
    <t>이기영 상무</t>
    <phoneticPr fontId="1" type="noConversion"/>
  </si>
  <si>
    <t>신경철 상무</t>
    <phoneticPr fontId="1" type="noConversion"/>
  </si>
  <si>
    <t>박세진 부장</t>
    <phoneticPr fontId="1" type="noConversion"/>
  </si>
  <si>
    <t>투베드(8일) 11만(VAT포함)</t>
    <phoneticPr fontId="1" type="noConversion"/>
  </si>
  <si>
    <t>12박</t>
    <phoneticPr fontId="1" type="noConversion"/>
  </si>
  <si>
    <t>154kV 서충주S/S/한전</t>
    <phoneticPr fontId="1" type="noConversion"/>
  </si>
  <si>
    <t>345kV 신의정부S/S/한전</t>
    <phoneticPr fontId="1" type="noConversion"/>
  </si>
  <si>
    <t>전상열 상무(단장)</t>
    <phoneticPr fontId="1" type="noConversion"/>
  </si>
  <si>
    <t>06/08~06/09 (1박2일)</t>
    <phoneticPr fontId="1" type="noConversion"/>
  </si>
  <si>
    <t>06/08~06/09 (1박2일)</t>
    <phoneticPr fontId="1" type="noConversion"/>
  </si>
  <si>
    <t>공유성</t>
    <phoneticPr fontId="1" type="noConversion"/>
  </si>
  <si>
    <t>06/10~06/12 (2박3일)</t>
    <phoneticPr fontId="1" type="noConversion"/>
  </si>
  <si>
    <t>공유성 상무(단장)</t>
    <phoneticPr fontId="1" type="noConversion"/>
  </si>
  <si>
    <t>06/11~06/12 (1박2일)</t>
    <phoneticPr fontId="1" type="noConversion"/>
  </si>
  <si>
    <t>06/17~06/18 (1박2일)</t>
    <phoneticPr fontId="1" type="noConversion"/>
  </si>
  <si>
    <t>김시현</t>
    <phoneticPr fontId="1" type="noConversion"/>
  </si>
  <si>
    <t>154kV 정읍S/S/한전</t>
    <phoneticPr fontId="1" type="noConversion"/>
  </si>
  <si>
    <t>김영국 상무(안전)</t>
    <phoneticPr fontId="1" type="noConversion"/>
  </si>
  <si>
    <t>06/15~06/19 (4박5일)</t>
    <phoneticPr fontId="1" type="noConversion"/>
  </si>
  <si>
    <t>김시현 상무(단장)</t>
    <phoneticPr fontId="1" type="noConversion"/>
  </si>
  <si>
    <t>06/16~06/19 (3박4일)</t>
    <phoneticPr fontId="1" type="noConversion"/>
  </si>
  <si>
    <t>면접일시</t>
    <phoneticPr fontId="1" type="noConversion"/>
  </si>
  <si>
    <t>호남권 변전기술 센터 외2/한전</t>
    <phoneticPr fontId="1" type="noConversion"/>
  </si>
  <si>
    <t>06/16~06/17 (1박2일)</t>
    <phoneticPr fontId="1" type="noConversion"/>
  </si>
  <si>
    <t>06/19~06/20 (1박2일)</t>
    <phoneticPr fontId="1" type="noConversion"/>
  </si>
  <si>
    <t>정영석 이사(안전)</t>
    <phoneticPr fontId="1" type="noConversion"/>
  </si>
  <si>
    <t>06/22~06/25 (4박5일)</t>
    <phoneticPr fontId="1" type="noConversion"/>
  </si>
  <si>
    <t>경주시 복합문화도서관 외1/지자체</t>
    <phoneticPr fontId="1" type="noConversion"/>
  </si>
  <si>
    <t>동두천 송내복합주차센터 / 동두천시</t>
    <phoneticPr fontId="1" type="noConversion"/>
  </si>
  <si>
    <t>변창균</t>
    <phoneticPr fontId="1" type="noConversion"/>
  </si>
  <si>
    <t>울산 남구 야음동 811-7번지 / 울산광역시</t>
    <phoneticPr fontId="1" type="noConversion"/>
  </si>
  <si>
    <t>변창균 상무(단장)</t>
    <phoneticPr fontId="1" type="noConversion"/>
  </si>
  <si>
    <t>06/25~06/26 (1박2일)</t>
    <phoneticPr fontId="1" type="noConversion"/>
  </si>
  <si>
    <t>06/23~06/22 (2박3일)</t>
    <phoneticPr fontId="1" type="noConversion"/>
  </si>
  <si>
    <t>06/29~06/30 (1박2일)</t>
    <phoneticPr fontId="1" type="noConversion"/>
  </si>
  <si>
    <t>정대영</t>
    <phoneticPr fontId="1" type="noConversion"/>
  </si>
  <si>
    <t>충주문화원 신축 / 충주시</t>
    <phoneticPr fontId="1" type="noConversion"/>
  </si>
  <si>
    <t>정대영 상무(단장)</t>
    <phoneticPr fontId="1" type="noConversion"/>
  </si>
  <si>
    <t>06/29~07/01 (2박3일)</t>
    <phoneticPr fontId="1" type="noConversion"/>
  </si>
  <si>
    <t>김순환</t>
    <phoneticPr fontId="1" type="noConversion"/>
  </si>
  <si>
    <t>충주문화원 신축 / 충주시</t>
    <phoneticPr fontId="1" type="noConversion"/>
  </si>
  <si>
    <t>김순환 상무(건축)</t>
    <phoneticPr fontId="1" type="noConversion"/>
  </si>
  <si>
    <t>06/30~07/01 (1박2일)</t>
    <phoneticPr fontId="1" type="noConversion"/>
  </si>
  <si>
    <t>A099 / 국방부</t>
    <phoneticPr fontId="1" type="noConversion"/>
  </si>
  <si>
    <t xml:space="preserve"> A103 / 국방부</t>
    <phoneticPr fontId="1" type="noConversion"/>
  </si>
  <si>
    <t>구인호 상무(단장)</t>
    <phoneticPr fontId="1" type="noConversion"/>
  </si>
  <si>
    <t>06/30~07/02 (2박3일)</t>
    <phoneticPr fontId="1" type="noConversion"/>
  </si>
  <si>
    <t>이영열 상무(건축)</t>
    <phoneticPr fontId="1" type="noConversion"/>
  </si>
  <si>
    <t>박세진 부장</t>
    <phoneticPr fontId="1" type="noConversion"/>
  </si>
  <si>
    <t>임태균 상무</t>
    <phoneticPr fontId="1" type="noConversion"/>
  </si>
  <si>
    <t>전상열 상무</t>
    <phoneticPr fontId="1" type="noConversion"/>
  </si>
  <si>
    <t>공유성 상무</t>
    <phoneticPr fontId="1" type="noConversion"/>
  </si>
  <si>
    <t>이기영 상무</t>
    <phoneticPr fontId="1" type="noConversion"/>
  </si>
  <si>
    <t>최동환 부장</t>
    <phoneticPr fontId="1" type="noConversion"/>
  </si>
  <si>
    <t>김시현 상무</t>
    <phoneticPr fontId="1" type="noConversion"/>
  </si>
  <si>
    <t>김영국 상무</t>
    <phoneticPr fontId="1" type="noConversion"/>
  </si>
  <si>
    <t>도신영 차장</t>
    <phoneticPr fontId="1" type="noConversion"/>
  </si>
  <si>
    <t>정영석 이사</t>
    <phoneticPr fontId="1" type="noConversion"/>
  </si>
  <si>
    <t>변창균 상무</t>
    <phoneticPr fontId="1" type="noConversion"/>
  </si>
  <si>
    <t>정대영 상무</t>
    <phoneticPr fontId="1" type="noConversion"/>
  </si>
  <si>
    <t>김순환 상무</t>
    <phoneticPr fontId="1" type="noConversion"/>
  </si>
  <si>
    <t>구인호 상무</t>
    <phoneticPr fontId="1" type="noConversion"/>
  </si>
  <si>
    <t>이영열 상무</t>
    <phoneticPr fontId="1" type="noConversion"/>
  </si>
  <si>
    <t>39박</t>
    <phoneticPr fontId="1" type="noConversion"/>
  </si>
  <si>
    <t>06/30~07/03 (3박4일)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</si>
</sst>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-&quot;₩&quot;* #,##0_-;\-&quot;₩&quot;* #,##0_-;_-&quot;₩&quot;* &quot;-&quot;_-;_-@_-"/>
    <numFmt numFmtId="176" formatCode="mm\/dd"/>
    <numFmt numFmtId="177" formatCode="yy\/mm\/dd\(aaa\)"/>
    <numFmt numFmtId="178" formatCode="&quot;정정식 전무&quot;\ General&quot;박&quot;"/>
    <numFmt numFmtId="179" formatCode="&quot;하보원 상무&quot;\ General&quot;박&quot;"/>
    <numFmt numFmtId="180" formatCode="&quot;김성우 상무&quot;\ General&quot;박&quot;"/>
    <numFmt numFmtId="181" formatCode="General&quot;박&quot;"/>
    <numFmt numFmtId="182" formatCode="&quot;₩&quot;#,##0_);[Red]\(&quot;₩&quot;#,##0\)"/>
  </numFmts>
  <fonts count="3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a아시아헤드1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rgb="FF0070C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  <scheme val="major"/>
    </font>
    <font>
      <sz val="14"/>
      <color rgb="FF0070C0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rgb="FF0070C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2"/>
      <color rgb="FFFF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</fonts>
  <fills count="3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D6FB7"/>
        <bgColor indexed="64"/>
      </patternFill>
    </fill>
    <fill>
      <patternFill patternType="solid">
        <fgColor rgb="FF9E89E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BBE28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7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16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81" fontId="0" fillId="0" borderId="11" xfId="0" applyNumberFormat="1" applyBorder="1" applyAlignment="1">
      <alignment vertical="center"/>
    </xf>
    <xf numFmtId="181" fontId="0" fillId="0" borderId="24" xfId="0" applyNumberFormat="1" applyBorder="1" applyAlignment="1">
      <alignment vertical="center"/>
    </xf>
    <xf numFmtId="181" fontId="0" fillId="0" borderId="32" xfId="0" applyNumberForma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77" fontId="0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81" fontId="0" fillId="0" borderId="0" xfId="0" applyNumberFormat="1" applyFill="1" applyBorder="1" applyAlignment="1">
      <alignment vertical="center"/>
    </xf>
    <xf numFmtId="180" fontId="5" fillId="0" borderId="0" xfId="0" applyNumberFormat="1" applyFont="1" applyFill="1" applyBorder="1" applyAlignment="1">
      <alignment horizontal="center" vertical="center"/>
    </xf>
    <xf numFmtId="42" fontId="0" fillId="0" borderId="0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9" fontId="5" fillId="0" borderId="0" xfId="0" applyNumberFormat="1" applyFont="1" applyFill="1" applyBorder="1" applyAlignment="1">
      <alignment vertical="center"/>
    </xf>
    <xf numFmtId="180" fontId="5" fillId="0" borderId="0" xfId="0" applyNumberFormat="1" applyFont="1" applyFill="1" applyBorder="1" applyAlignment="1">
      <alignment vertical="center"/>
    </xf>
    <xf numFmtId="178" fontId="7" fillId="0" borderId="25" xfId="0" applyNumberFormat="1" applyFont="1" applyBorder="1" applyAlignment="1">
      <alignment horizontal="center" vertical="center"/>
    </xf>
    <xf numFmtId="179" fontId="7" fillId="0" borderId="23" xfId="0" applyNumberFormat="1" applyFont="1" applyBorder="1" applyAlignment="1">
      <alignment horizontal="center" vertical="center"/>
    </xf>
    <xf numFmtId="180" fontId="7" fillId="0" borderId="23" xfId="0" applyNumberFormat="1" applyFont="1" applyBorder="1" applyAlignment="1">
      <alignment horizontal="center" vertical="center"/>
    </xf>
    <xf numFmtId="179" fontId="7" fillId="0" borderId="3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42" fontId="13" fillId="0" borderId="12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5" xfId="0" applyFont="1" applyFill="1" applyBorder="1" applyAlignment="1">
      <alignment vertical="center"/>
    </xf>
    <xf numFmtId="0" fontId="16" fillId="0" borderId="6" xfId="0" applyFont="1" applyFill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vertical="center"/>
    </xf>
    <xf numFmtId="177" fontId="4" fillId="0" borderId="0" xfId="0" applyNumberFormat="1" applyFont="1" applyFill="1" applyBorder="1" applyAlignment="1">
      <alignment vertical="center"/>
    </xf>
    <xf numFmtId="181" fontId="4" fillId="0" borderId="11" xfId="0" applyNumberFormat="1" applyFont="1" applyBorder="1" applyAlignment="1">
      <alignment vertical="center"/>
    </xf>
    <xf numFmtId="181" fontId="4" fillId="0" borderId="24" xfId="0" applyNumberFormat="1" applyFont="1" applyBorder="1" applyAlignment="1">
      <alignment vertical="center"/>
    </xf>
    <xf numFmtId="181" fontId="4" fillId="0" borderId="32" xfId="0" applyNumberFormat="1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vertical="center"/>
    </xf>
    <xf numFmtId="0" fontId="16" fillId="0" borderId="8" xfId="0" applyFont="1" applyFill="1" applyBorder="1" applyAlignment="1">
      <alignment vertical="center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2" fontId="23" fillId="0" borderId="12" xfId="0" applyNumberFormat="1" applyFont="1" applyFill="1" applyBorder="1" applyAlignment="1">
      <alignment vertical="center"/>
    </xf>
    <xf numFmtId="0" fontId="22" fillId="0" borderId="0" xfId="0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177" fontId="22" fillId="0" borderId="0" xfId="0" applyNumberFormat="1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27" fillId="0" borderId="6" xfId="0" applyFont="1" applyFill="1" applyBorder="1" applyAlignment="1">
      <alignment vertical="center"/>
    </xf>
    <xf numFmtId="176" fontId="22" fillId="0" borderId="0" xfId="0" applyNumberFormat="1" applyFont="1" applyFill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27" fillId="0" borderId="7" xfId="0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181" fontId="22" fillId="0" borderId="0" xfId="0" applyNumberFormat="1" applyFont="1" applyFill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9" fontId="6" fillId="0" borderId="23" xfId="0" applyNumberFormat="1" applyFont="1" applyBorder="1" applyAlignment="1">
      <alignment horizontal="center" vertical="center"/>
    </xf>
    <xf numFmtId="178" fontId="31" fillId="0" borderId="25" xfId="0" applyNumberFormat="1" applyFont="1" applyBorder="1" applyAlignment="1">
      <alignment horizontal="center" vertical="center"/>
    </xf>
    <xf numFmtId="181" fontId="22" fillId="0" borderId="11" xfId="0" applyNumberFormat="1" applyFont="1" applyBorder="1" applyAlignment="1">
      <alignment vertical="center"/>
    </xf>
    <xf numFmtId="0" fontId="33" fillId="0" borderId="0" xfId="0" applyFont="1" applyBorder="1" applyAlignment="1">
      <alignment horizontal="center" vertical="center"/>
    </xf>
    <xf numFmtId="179" fontId="31" fillId="0" borderId="23" xfId="0" applyNumberFormat="1" applyFont="1" applyBorder="1" applyAlignment="1">
      <alignment horizontal="center" vertical="center"/>
    </xf>
    <xf numFmtId="181" fontId="22" fillId="0" borderId="24" xfId="0" applyNumberFormat="1" applyFont="1" applyBorder="1" applyAlignment="1">
      <alignment vertical="center"/>
    </xf>
    <xf numFmtId="180" fontId="29" fillId="0" borderId="23" xfId="0" applyNumberFormat="1" applyFont="1" applyBorder="1" applyAlignment="1">
      <alignment horizontal="center" vertical="center"/>
    </xf>
    <xf numFmtId="179" fontId="29" fillId="0" borderId="31" xfId="0" applyNumberFormat="1" applyFont="1" applyBorder="1" applyAlignment="1">
      <alignment horizontal="center" vertical="center"/>
    </xf>
    <xf numFmtId="181" fontId="22" fillId="0" borderId="32" xfId="0" applyNumberFormat="1" applyFont="1" applyBorder="1" applyAlignment="1">
      <alignment vertical="center"/>
    </xf>
    <xf numFmtId="0" fontId="22" fillId="3" borderId="16" xfId="0" applyFont="1" applyFill="1" applyBorder="1" applyAlignment="1">
      <alignment horizontal="center" vertical="center"/>
    </xf>
    <xf numFmtId="0" fontId="22" fillId="0" borderId="0" xfId="0" applyFont="1" applyFill="1" applyBorder="1">
      <alignment vertical="center"/>
    </xf>
    <xf numFmtId="0" fontId="34" fillId="0" borderId="0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180" fontId="31" fillId="0" borderId="23" xfId="0" applyNumberFormat="1" applyFont="1" applyBorder="1" applyAlignment="1">
      <alignment horizontal="center" vertical="center"/>
    </xf>
    <xf numFmtId="179" fontId="31" fillId="0" borderId="31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180" fontId="6" fillId="0" borderId="23" xfId="0" applyNumberFormat="1" applyFont="1" applyBorder="1" applyAlignment="1">
      <alignment horizontal="center" vertical="center"/>
    </xf>
    <xf numFmtId="180" fontId="6" fillId="0" borderId="3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79" fontId="6" fillId="0" borderId="31" xfId="0" applyNumberFormat="1" applyFont="1" applyBorder="1" applyAlignment="1">
      <alignment horizontal="center" vertical="center"/>
    </xf>
    <xf numFmtId="180" fontId="6" fillId="0" borderId="5" xfId="0" applyNumberFormat="1" applyFont="1" applyBorder="1" applyAlignment="1">
      <alignment horizontal="center" vertical="center"/>
    </xf>
    <xf numFmtId="181" fontId="4" fillId="0" borderId="33" xfId="0" applyNumberFormat="1" applyFont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179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8" fontId="5" fillId="0" borderId="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 applyAlignment="1">
      <alignment vertical="center"/>
    </xf>
    <xf numFmtId="179" fontId="5" fillId="0" borderId="0" xfId="0" applyNumberFormat="1" applyFont="1" applyFill="1" applyBorder="1" applyAlignment="1">
      <alignment horizontal="center" vertical="center"/>
    </xf>
    <xf numFmtId="0" fontId="0" fillId="6" borderId="16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0" fillId="7" borderId="16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0" fillId="11" borderId="16" xfId="0" applyFont="1" applyFill="1" applyBorder="1" applyAlignment="1">
      <alignment horizontal="center" vertical="center"/>
    </xf>
    <xf numFmtId="0" fontId="0" fillId="5" borderId="16" xfId="0" applyFont="1" applyFill="1" applyBorder="1" applyAlignment="1">
      <alignment horizontal="center" vertical="center"/>
    </xf>
    <xf numFmtId="0" fontId="0" fillId="12" borderId="16" xfId="0" applyFont="1" applyFill="1" applyBorder="1" applyAlignment="1">
      <alignment horizontal="center" vertical="center"/>
    </xf>
    <xf numFmtId="0" fontId="0" fillId="13" borderId="16" xfId="0" applyFont="1" applyFill="1" applyBorder="1" applyAlignment="1">
      <alignment horizontal="center" vertical="center"/>
    </xf>
    <xf numFmtId="0" fontId="0" fillId="14" borderId="16" xfId="0" applyFont="1" applyFill="1" applyBorder="1" applyAlignment="1">
      <alignment horizontal="center" vertical="center"/>
    </xf>
    <xf numFmtId="0" fontId="0" fillId="15" borderId="16" xfId="0" applyFont="1" applyFill="1" applyBorder="1" applyAlignment="1">
      <alignment horizontal="center" vertical="center"/>
    </xf>
    <xf numFmtId="0" fontId="0" fillId="16" borderId="16" xfId="0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0" fontId="0" fillId="17" borderId="16" xfId="0" applyFont="1" applyFill="1" applyBorder="1" applyAlignment="1">
      <alignment horizontal="center" vertical="center"/>
    </xf>
    <xf numFmtId="0" fontId="0" fillId="18" borderId="16" xfId="0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0" fillId="19" borderId="16" xfId="0" applyFont="1" applyFill="1" applyBorder="1" applyAlignment="1">
      <alignment horizontal="center" vertical="center"/>
    </xf>
    <xf numFmtId="0" fontId="0" fillId="20" borderId="16" xfId="0" applyFont="1" applyFill="1" applyBorder="1" applyAlignment="1">
      <alignment horizontal="center" vertical="center"/>
    </xf>
    <xf numFmtId="0" fontId="4" fillId="21" borderId="16" xfId="0" applyFont="1" applyFill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22" borderId="16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0" fillId="23" borderId="16" xfId="0" applyFont="1" applyFill="1" applyBorder="1" applyAlignment="1">
      <alignment horizontal="center" vertical="center"/>
    </xf>
    <xf numFmtId="0" fontId="22" fillId="0" borderId="29" xfId="0" applyFont="1" applyBorder="1" applyAlignment="1">
      <alignment vertical="center"/>
    </xf>
    <xf numFmtId="0" fontId="22" fillId="0" borderId="28" xfId="0" applyFont="1" applyBorder="1" applyAlignment="1">
      <alignment vertical="center"/>
    </xf>
    <xf numFmtId="180" fontId="29" fillId="0" borderId="31" xfId="0" applyNumberFormat="1" applyFont="1" applyBorder="1" applyAlignment="1">
      <alignment horizontal="center" vertical="center"/>
    </xf>
    <xf numFmtId="178" fontId="29" fillId="0" borderId="25" xfId="0" applyNumberFormat="1" applyFont="1" applyBorder="1" applyAlignment="1">
      <alignment horizontal="center" vertical="center"/>
    </xf>
    <xf numFmtId="181" fontId="29" fillId="0" borderId="11" xfId="0" applyNumberFormat="1" applyFont="1" applyBorder="1" applyAlignment="1">
      <alignment horizontal="right" vertical="center"/>
    </xf>
    <xf numFmtId="178" fontId="29" fillId="0" borderId="31" xfId="0" applyNumberFormat="1" applyFont="1" applyBorder="1" applyAlignment="1">
      <alignment horizontal="center" vertical="center"/>
    </xf>
    <xf numFmtId="181" fontId="29" fillId="0" borderId="32" xfId="0" applyNumberFormat="1" applyFont="1" applyBorder="1" applyAlignment="1">
      <alignment horizontal="right" vertical="center"/>
    </xf>
    <xf numFmtId="181" fontId="29" fillId="0" borderId="24" xfId="0" applyNumberFormat="1" applyFont="1" applyBorder="1" applyAlignment="1">
      <alignment horizontal="right" vertical="center"/>
    </xf>
    <xf numFmtId="179" fontId="31" fillId="0" borderId="0" xfId="0" applyNumberFormat="1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0" fillId="25" borderId="16" xfId="0" applyFont="1" applyFill="1" applyBorder="1" applyAlignment="1">
      <alignment horizontal="center" vertical="center"/>
    </xf>
    <xf numFmtId="0" fontId="0" fillId="26" borderId="16" xfId="0" applyFont="1" applyFill="1" applyBorder="1" applyAlignment="1">
      <alignment horizontal="center" vertical="center"/>
    </xf>
    <xf numFmtId="0" fontId="4" fillId="17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7" borderId="16" xfId="0" applyFont="1" applyFill="1" applyBorder="1" applyAlignment="1">
      <alignment horizontal="center" vertical="center"/>
    </xf>
    <xf numFmtId="0" fontId="0" fillId="28" borderId="16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42" fontId="22" fillId="0" borderId="0" xfId="0" applyNumberFormat="1" applyFont="1" applyFill="1" applyBorder="1" applyAlignment="1">
      <alignment horizontal="center" vertical="center"/>
    </xf>
    <xf numFmtId="178" fontId="22" fillId="0" borderId="25" xfId="0" applyNumberFormat="1" applyFont="1" applyBorder="1" applyAlignment="1">
      <alignment vertical="center"/>
    </xf>
    <xf numFmtId="178" fontId="22" fillId="0" borderId="31" xfId="0" applyNumberFormat="1" applyFont="1" applyBorder="1" applyAlignment="1">
      <alignment vertical="center"/>
    </xf>
    <xf numFmtId="179" fontId="22" fillId="0" borderId="23" xfId="0" applyNumberFormat="1" applyFont="1" applyBorder="1" applyAlignment="1">
      <alignment vertical="center"/>
    </xf>
    <xf numFmtId="180" fontId="22" fillId="0" borderId="23" xfId="0" applyNumberFormat="1" applyFont="1" applyBorder="1" applyAlignment="1">
      <alignment vertical="center"/>
    </xf>
    <xf numFmtId="180" fontId="22" fillId="0" borderId="31" xfId="0" applyNumberFormat="1" applyFont="1" applyBorder="1" applyAlignment="1">
      <alignment vertical="center"/>
    </xf>
    <xf numFmtId="179" fontId="22" fillId="0" borderId="31" xfId="0" applyNumberFormat="1" applyFont="1" applyBorder="1" applyAlignment="1">
      <alignment vertical="center"/>
    </xf>
    <xf numFmtId="0" fontId="27" fillId="0" borderId="5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24" borderId="16" xfId="0" applyFont="1" applyFill="1" applyBorder="1" applyAlignment="1">
      <alignment horizontal="center" vertical="center"/>
    </xf>
    <xf numFmtId="0" fontId="4" fillId="29" borderId="16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77" fontId="22" fillId="0" borderId="0" xfId="0" applyNumberFormat="1" applyFont="1" applyFill="1" applyBorder="1" applyAlignment="1">
      <alignment horizontal="center" vertical="center"/>
    </xf>
    <xf numFmtId="0" fontId="4" fillId="15" borderId="16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78" fontId="22" fillId="0" borderId="0" xfId="0" applyNumberFormat="1" applyFont="1" applyFill="1" applyBorder="1" applyAlignment="1">
      <alignment vertical="center"/>
    </xf>
    <xf numFmtId="179" fontId="22" fillId="0" borderId="0" xfId="0" applyNumberFormat="1" applyFont="1" applyFill="1" applyBorder="1" applyAlignment="1">
      <alignment vertical="center"/>
    </xf>
    <xf numFmtId="180" fontId="22" fillId="0" borderId="0" xfId="0" applyNumberFormat="1" applyFont="1" applyFill="1" applyBorder="1" applyAlignment="1">
      <alignment vertical="center"/>
    </xf>
    <xf numFmtId="178" fontId="5" fillId="0" borderId="25" xfId="0" applyNumberFormat="1" applyFont="1" applyBorder="1" applyAlignment="1">
      <alignment horizontal="center" vertical="center"/>
    </xf>
    <xf numFmtId="181" fontId="5" fillId="0" borderId="11" xfId="0" applyNumberFormat="1" applyFont="1" applyBorder="1" applyAlignment="1">
      <alignment vertical="center"/>
    </xf>
    <xf numFmtId="179" fontId="5" fillId="0" borderId="23" xfId="0" applyNumberFormat="1" applyFont="1" applyBorder="1" applyAlignment="1">
      <alignment horizontal="center" vertical="center"/>
    </xf>
    <xf numFmtId="181" fontId="5" fillId="0" borderId="24" xfId="0" applyNumberFormat="1" applyFont="1" applyBorder="1" applyAlignment="1">
      <alignment vertical="center"/>
    </xf>
    <xf numFmtId="180" fontId="5" fillId="0" borderId="23" xfId="0" applyNumberFormat="1" applyFont="1" applyBorder="1" applyAlignment="1">
      <alignment horizontal="center" vertical="center"/>
    </xf>
    <xf numFmtId="180" fontId="5" fillId="0" borderId="31" xfId="0" applyNumberFormat="1" applyFont="1" applyBorder="1" applyAlignment="1">
      <alignment horizontal="center" vertical="center"/>
    </xf>
    <xf numFmtId="181" fontId="5" fillId="0" borderId="32" xfId="0" applyNumberFormat="1" applyFont="1" applyBorder="1" applyAlignment="1">
      <alignment vertical="center"/>
    </xf>
    <xf numFmtId="0" fontId="4" fillId="16" borderId="16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4" fillId="13" borderId="16" xfId="0" applyFont="1" applyFill="1" applyBorder="1" applyAlignment="1">
      <alignment horizontal="center" vertical="center"/>
    </xf>
    <xf numFmtId="0" fontId="4" fillId="30" borderId="16" xfId="0" applyFont="1" applyFill="1" applyBorder="1" applyAlignment="1">
      <alignment horizontal="center" vertical="center"/>
    </xf>
    <xf numFmtId="0" fontId="4" fillId="31" borderId="16" xfId="0" applyFont="1" applyFill="1" applyBorder="1" applyAlignment="1">
      <alignment horizontal="center" vertical="center"/>
    </xf>
    <xf numFmtId="0" fontId="4" fillId="23" borderId="16" xfId="0" applyFont="1" applyFill="1" applyBorder="1" applyAlignment="1">
      <alignment horizontal="center" vertical="center"/>
    </xf>
    <xf numFmtId="0" fontId="5" fillId="23" borderId="26" xfId="0" applyFont="1" applyFill="1" applyBorder="1" applyAlignment="1">
      <alignment horizontal="center" vertical="center"/>
    </xf>
    <xf numFmtId="0" fontId="5" fillId="23" borderId="27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176" fontId="4" fillId="0" borderId="23" xfId="0" applyNumberFormat="1" applyFont="1" applyBorder="1" applyAlignment="1">
      <alignment horizontal="center" vertical="center"/>
    </xf>
    <xf numFmtId="176" fontId="4" fillId="0" borderId="24" xfId="0" applyNumberFormat="1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16" fillId="23" borderId="5" xfId="0" applyFont="1" applyFill="1" applyBorder="1" applyAlignment="1">
      <alignment horizontal="center" vertical="center"/>
    </xf>
    <xf numFmtId="0" fontId="16" fillId="23" borderId="6" xfId="0" applyFont="1" applyFill="1" applyBorder="1" applyAlignment="1">
      <alignment horizontal="center" vertical="center"/>
    </xf>
    <xf numFmtId="177" fontId="4" fillId="0" borderId="26" xfId="0" quotePrefix="1" applyNumberFormat="1" applyFont="1" applyFill="1" applyBorder="1" applyAlignment="1">
      <alignment horizontal="center" vertical="center"/>
    </xf>
    <xf numFmtId="177" fontId="4" fillId="0" borderId="27" xfId="0" applyNumberFormat="1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20" borderId="26" xfId="0" applyFont="1" applyFill="1" applyBorder="1" applyAlignment="1">
      <alignment horizontal="center" vertical="center"/>
    </xf>
    <xf numFmtId="0" fontId="5" fillId="20" borderId="27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42" fontId="23" fillId="0" borderId="21" xfId="0" applyNumberFormat="1" applyFont="1" applyFill="1" applyBorder="1" applyAlignment="1">
      <alignment horizontal="center" vertical="center"/>
    </xf>
    <xf numFmtId="42" fontId="23" fillId="0" borderId="20" xfId="0" applyNumberFormat="1" applyFont="1" applyFill="1" applyBorder="1" applyAlignment="1">
      <alignment horizontal="center" vertical="center"/>
    </xf>
    <xf numFmtId="42" fontId="23" fillId="0" borderId="22" xfId="0" applyNumberFormat="1" applyFont="1" applyFill="1" applyBorder="1" applyAlignment="1">
      <alignment horizontal="center" vertical="center"/>
    </xf>
    <xf numFmtId="42" fontId="23" fillId="0" borderId="13" xfId="0" applyNumberFormat="1" applyFont="1" applyFill="1" applyBorder="1" applyAlignment="1">
      <alignment horizontal="center" vertical="center"/>
    </xf>
    <xf numFmtId="42" fontId="23" fillId="0" borderId="14" xfId="0" applyNumberFormat="1" applyFont="1" applyFill="1" applyBorder="1" applyAlignment="1">
      <alignment horizontal="center" vertical="center"/>
    </xf>
    <xf numFmtId="42" fontId="23" fillId="0" borderId="15" xfId="0" applyNumberFormat="1" applyFont="1" applyFill="1" applyBorder="1" applyAlignment="1">
      <alignment horizontal="center" vertical="center"/>
    </xf>
    <xf numFmtId="0" fontId="24" fillId="5" borderId="0" xfId="0" applyFont="1" applyFill="1" applyBorder="1" applyAlignment="1">
      <alignment horizontal="center" vertical="center"/>
    </xf>
    <xf numFmtId="0" fontId="25" fillId="0" borderId="18" xfId="0" applyFont="1" applyFill="1" applyBorder="1" applyAlignment="1">
      <alignment horizontal="center" vertical="center"/>
    </xf>
    <xf numFmtId="0" fontId="25" fillId="0" borderId="17" xfId="0" applyFont="1" applyFill="1" applyBorder="1" applyAlignment="1">
      <alignment horizontal="center" vertical="center"/>
    </xf>
    <xf numFmtId="0" fontId="23" fillId="0" borderId="17" xfId="0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 vertical="center"/>
    </xf>
    <xf numFmtId="0" fontId="26" fillId="0" borderId="19" xfId="0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30" fillId="0" borderId="4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0" fontId="16" fillId="19" borderId="0" xfId="0" applyFont="1" applyFill="1" applyBorder="1" applyAlignment="1">
      <alignment horizontal="center" vertical="center"/>
    </xf>
    <xf numFmtId="0" fontId="16" fillId="19" borderId="6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21" borderId="5" xfId="0" applyFont="1" applyFill="1" applyBorder="1" applyAlignment="1">
      <alignment horizontal="center" vertical="center"/>
    </xf>
    <xf numFmtId="0" fontId="16" fillId="21" borderId="6" xfId="0" applyFont="1" applyFill="1" applyBorder="1" applyAlignment="1">
      <alignment horizontal="center" vertical="center"/>
    </xf>
    <xf numFmtId="0" fontId="16" fillId="21" borderId="0" xfId="0" applyFont="1" applyFill="1" applyBorder="1" applyAlignment="1">
      <alignment horizontal="center" vertical="center"/>
    </xf>
    <xf numFmtId="0" fontId="16" fillId="9" borderId="0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6" fillId="9" borderId="27" xfId="0" applyFont="1" applyFill="1" applyBorder="1" applyAlignment="1">
      <alignment horizontal="center" vertical="center"/>
    </xf>
    <xf numFmtId="0" fontId="5" fillId="12" borderId="26" xfId="0" applyFont="1" applyFill="1" applyBorder="1" applyAlignment="1">
      <alignment horizontal="center" vertical="center"/>
    </xf>
    <xf numFmtId="0" fontId="5" fillId="12" borderId="27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6" fillId="8" borderId="0" xfId="0" applyFont="1" applyFill="1" applyBorder="1" applyAlignment="1">
      <alignment horizontal="center" vertical="center"/>
    </xf>
    <xf numFmtId="0" fontId="16" fillId="20" borderId="5" xfId="0" applyFont="1" applyFill="1" applyBorder="1" applyAlignment="1">
      <alignment horizontal="center" vertical="center"/>
    </xf>
    <xf numFmtId="0" fontId="16" fillId="20" borderId="6" xfId="0" applyFont="1" applyFill="1" applyBorder="1" applyAlignment="1">
      <alignment horizontal="center" vertical="center"/>
    </xf>
    <xf numFmtId="0" fontId="16" fillId="16" borderId="0" xfId="0" applyFont="1" applyFill="1" applyBorder="1" applyAlignment="1">
      <alignment horizontal="center" vertical="center"/>
    </xf>
    <xf numFmtId="0" fontId="16" fillId="16" borderId="6" xfId="0" applyFont="1" applyFill="1" applyBorder="1" applyAlignment="1">
      <alignment horizontal="center" vertical="center"/>
    </xf>
    <xf numFmtId="0" fontId="16" fillId="13" borderId="0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16" fillId="14" borderId="0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horizontal="center" vertical="center"/>
    </xf>
    <xf numFmtId="0" fontId="16" fillId="17" borderId="0" xfId="0" applyFont="1" applyFill="1" applyBorder="1" applyAlignment="1">
      <alignment horizontal="center" vertical="center"/>
    </xf>
    <xf numFmtId="0" fontId="16" fillId="17" borderId="6" xfId="0" applyFont="1" applyFill="1" applyBorder="1" applyAlignment="1">
      <alignment horizontal="center" vertical="center"/>
    </xf>
    <xf numFmtId="42" fontId="22" fillId="3" borderId="26" xfId="0" applyNumberFormat="1" applyFont="1" applyFill="1" applyBorder="1" applyAlignment="1">
      <alignment horizontal="center" vertical="center"/>
    </xf>
    <xf numFmtId="42" fontId="22" fillId="3" borderId="27" xfId="0" applyNumberFormat="1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center" vertical="center"/>
    </xf>
    <xf numFmtId="0" fontId="5" fillId="11" borderId="26" xfId="0" applyFont="1" applyFill="1" applyBorder="1" applyAlignment="1">
      <alignment horizontal="center" vertical="center"/>
    </xf>
    <xf numFmtId="0" fontId="5" fillId="11" borderId="27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/>
    </xf>
    <xf numFmtId="0" fontId="16" fillId="13" borderId="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16" borderId="26" xfId="0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16" fillId="12" borderId="0" xfId="0" applyFont="1" applyFill="1" applyBorder="1" applyAlignment="1">
      <alignment horizontal="center" vertical="center"/>
    </xf>
    <xf numFmtId="0" fontId="5" fillId="13" borderId="26" xfId="0" applyFont="1" applyFill="1" applyBorder="1" applyAlignment="1">
      <alignment horizontal="center" vertical="center"/>
    </xf>
    <xf numFmtId="0" fontId="5" fillId="13" borderId="27" xfId="0" applyFont="1" applyFill="1" applyBorder="1" applyAlignment="1">
      <alignment horizontal="center" vertical="center"/>
    </xf>
    <xf numFmtId="0" fontId="5" fillId="17" borderId="26" xfId="0" applyFont="1" applyFill="1" applyBorder="1" applyAlignment="1">
      <alignment horizontal="center" vertical="center"/>
    </xf>
    <xf numFmtId="0" fontId="5" fillId="17" borderId="27" xfId="0" applyFont="1" applyFill="1" applyBorder="1" applyAlignment="1">
      <alignment horizontal="center" vertical="center"/>
    </xf>
    <xf numFmtId="0" fontId="5" fillId="18" borderId="26" xfId="0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9" borderId="26" xfId="0" applyFont="1" applyFill="1" applyBorder="1" applyAlignment="1">
      <alignment horizontal="center" vertical="center"/>
    </xf>
    <xf numFmtId="0" fontId="5" fillId="19" borderId="27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16" fillId="7" borderId="0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177" fontId="4" fillId="0" borderId="26" xfId="0" applyNumberFormat="1" applyFont="1" applyFill="1" applyBorder="1" applyAlignment="1">
      <alignment horizontal="center" vertical="center"/>
    </xf>
    <xf numFmtId="0" fontId="9" fillId="21" borderId="26" xfId="0" applyFont="1" applyFill="1" applyBorder="1" applyAlignment="1">
      <alignment horizontal="center" vertical="center"/>
    </xf>
    <xf numFmtId="0" fontId="9" fillId="21" borderId="27" xfId="0" applyFont="1" applyFill="1" applyBorder="1" applyAlignment="1">
      <alignment horizontal="center" vertical="center"/>
    </xf>
    <xf numFmtId="0" fontId="5" fillId="14" borderId="26" xfId="0" applyFont="1" applyFill="1" applyBorder="1" applyAlignment="1">
      <alignment horizontal="center" vertical="center"/>
    </xf>
    <xf numFmtId="0" fontId="5" fillId="14" borderId="27" xfId="0" applyFont="1" applyFill="1" applyBorder="1" applyAlignment="1">
      <alignment horizontal="center" vertical="center"/>
    </xf>
    <xf numFmtId="0" fontId="5" fillId="22" borderId="26" xfId="0" applyFont="1" applyFill="1" applyBorder="1" applyAlignment="1">
      <alignment horizontal="center" vertical="center"/>
    </xf>
    <xf numFmtId="0" fontId="5" fillId="22" borderId="27" xfId="0" applyFont="1" applyFill="1" applyBorder="1" applyAlignment="1">
      <alignment horizontal="center" vertical="center"/>
    </xf>
    <xf numFmtId="0" fontId="16" fillId="22" borderId="0" xfId="0" applyFont="1" applyFill="1" applyBorder="1" applyAlignment="1">
      <alignment horizontal="center" vertical="center"/>
    </xf>
    <xf numFmtId="0" fontId="16" fillId="18" borderId="0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0" fontId="16" fillId="20" borderId="0" xfId="0" applyFont="1" applyFill="1" applyBorder="1" applyAlignment="1">
      <alignment horizontal="center" vertical="center"/>
    </xf>
    <xf numFmtId="0" fontId="16" fillId="11" borderId="0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16" fillId="19" borderId="5" xfId="0" applyFont="1" applyFill="1" applyBorder="1" applyAlignment="1">
      <alignment horizontal="center" vertical="center"/>
    </xf>
    <xf numFmtId="0" fontId="5" fillId="15" borderId="26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3" borderId="45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3" fontId="11" fillId="3" borderId="47" xfId="0" applyNumberFormat="1" applyFont="1" applyFill="1" applyBorder="1" applyAlignment="1">
      <alignment horizontal="center" vertical="center"/>
    </xf>
    <xf numFmtId="0" fontId="11" fillId="3" borderId="48" xfId="0" applyFont="1" applyFill="1" applyBorder="1" applyAlignment="1">
      <alignment horizontal="center" vertical="center"/>
    </xf>
    <xf numFmtId="3" fontId="11" fillId="3" borderId="48" xfId="0" applyNumberFormat="1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5" fillId="9" borderId="27" xfId="0" applyFont="1" applyFill="1" applyBorder="1" applyAlignment="1">
      <alignment horizontal="center" vertical="center"/>
    </xf>
    <xf numFmtId="0" fontId="5" fillId="26" borderId="26" xfId="0" applyFont="1" applyFill="1" applyBorder="1" applyAlignment="1">
      <alignment horizontal="center" vertical="center"/>
    </xf>
    <xf numFmtId="0" fontId="5" fillId="26" borderId="27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6" fillId="21" borderId="26" xfId="0" applyFont="1" applyFill="1" applyBorder="1" applyAlignment="1">
      <alignment horizontal="center" vertical="center"/>
    </xf>
    <xf numFmtId="0" fontId="6" fillId="21" borderId="27" xfId="0" applyFont="1" applyFill="1" applyBorder="1" applyAlignment="1">
      <alignment horizontal="center" vertical="center"/>
    </xf>
    <xf numFmtId="0" fontId="5" fillId="25" borderId="26" xfId="0" applyFont="1" applyFill="1" applyBorder="1" applyAlignment="1">
      <alignment horizontal="center" vertical="center"/>
    </xf>
    <xf numFmtId="0" fontId="5" fillId="25" borderId="27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5" fillId="28" borderId="26" xfId="0" applyFont="1" applyFill="1" applyBorder="1" applyAlignment="1">
      <alignment horizontal="center" vertical="center"/>
    </xf>
    <xf numFmtId="0" fontId="5" fillId="28" borderId="27" xfId="0" applyFont="1" applyFill="1" applyBorder="1" applyAlignment="1">
      <alignment horizontal="center" vertical="center"/>
    </xf>
    <xf numFmtId="0" fontId="16" fillId="27" borderId="5" xfId="0" applyFont="1" applyFill="1" applyBorder="1" applyAlignment="1">
      <alignment horizontal="center" vertical="center"/>
    </xf>
    <xf numFmtId="0" fontId="16" fillId="27" borderId="6" xfId="0" applyFont="1" applyFill="1" applyBorder="1" applyAlignment="1">
      <alignment horizontal="center" vertical="center"/>
    </xf>
    <xf numFmtId="0" fontId="16" fillId="25" borderId="5" xfId="0" applyFont="1" applyFill="1" applyBorder="1" applyAlignment="1">
      <alignment horizontal="center" vertical="center"/>
    </xf>
    <xf numFmtId="0" fontId="16" fillId="25" borderId="6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4" borderId="5" xfId="0" applyFont="1" applyFill="1" applyBorder="1" applyAlignment="1">
      <alignment horizontal="center" vertical="center"/>
    </xf>
    <xf numFmtId="0" fontId="16" fillId="24" borderId="6" xfId="0" applyFont="1" applyFill="1" applyBorder="1" applyAlignment="1">
      <alignment horizontal="center" vertical="center"/>
    </xf>
    <xf numFmtId="0" fontId="16" fillId="26" borderId="5" xfId="0" applyFont="1" applyFill="1" applyBorder="1" applyAlignment="1">
      <alignment horizontal="center" vertical="center"/>
    </xf>
    <xf numFmtId="0" fontId="16" fillId="26" borderId="6" xfId="0" applyFont="1" applyFill="1" applyBorder="1" applyAlignment="1">
      <alignment horizontal="center" vertical="center"/>
    </xf>
    <xf numFmtId="0" fontId="16" fillId="28" borderId="5" xfId="0" applyFont="1" applyFill="1" applyBorder="1" applyAlignment="1">
      <alignment horizontal="center" vertical="center"/>
    </xf>
    <xf numFmtId="0" fontId="16" fillId="28" borderId="6" xfId="0" applyFont="1" applyFill="1" applyBorder="1" applyAlignment="1">
      <alignment horizontal="center" vertical="center"/>
    </xf>
    <xf numFmtId="0" fontId="16" fillId="22" borderId="5" xfId="0" applyFont="1" applyFill="1" applyBorder="1" applyAlignment="1">
      <alignment horizontal="center" vertical="center"/>
    </xf>
    <xf numFmtId="0" fontId="16" fillId="22" borderId="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27" borderId="26" xfId="0" applyFont="1" applyFill="1" applyBorder="1" applyAlignment="1">
      <alignment horizontal="center" vertical="center"/>
    </xf>
    <xf numFmtId="0" fontId="5" fillId="27" borderId="27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77" fontId="22" fillId="0" borderId="0" xfId="0" applyNumberFormat="1" applyFont="1" applyFill="1" applyBorder="1" applyAlignment="1">
      <alignment horizontal="center" vertical="center"/>
    </xf>
    <xf numFmtId="0" fontId="6" fillId="27" borderId="26" xfId="0" applyFont="1" applyFill="1" applyBorder="1" applyAlignment="1">
      <alignment horizontal="center" vertical="center"/>
    </xf>
    <xf numFmtId="0" fontId="6" fillId="27" borderId="27" xfId="0" applyFont="1" applyFill="1" applyBorder="1" applyAlignment="1">
      <alignment horizontal="center" vertical="center"/>
    </xf>
    <xf numFmtId="176" fontId="22" fillId="0" borderId="0" xfId="0" applyNumberFormat="1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27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176" fontId="0" fillId="0" borderId="23" xfId="0" applyNumberFormat="1" applyFont="1" applyBorder="1" applyAlignment="1">
      <alignment horizontal="center" vertical="center"/>
    </xf>
    <xf numFmtId="176" fontId="0" fillId="0" borderId="24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2" fontId="0" fillId="3" borderId="26" xfId="0" applyNumberFormat="1" applyFill="1" applyBorder="1" applyAlignment="1">
      <alignment horizontal="center" vertical="center"/>
    </xf>
    <xf numFmtId="42" fontId="0" fillId="3" borderId="27" xfId="0" applyNumberForma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16" fillId="29" borderId="5" xfId="0" applyFont="1" applyFill="1" applyBorder="1" applyAlignment="1">
      <alignment horizontal="center" vertical="center"/>
    </xf>
    <xf numFmtId="0" fontId="16" fillId="29" borderId="6" xfId="0" applyFont="1" applyFill="1" applyBorder="1" applyAlignment="1">
      <alignment horizontal="center" vertical="center"/>
    </xf>
    <xf numFmtId="0" fontId="5" fillId="24" borderId="26" xfId="0" applyFont="1" applyFill="1" applyBorder="1" applyAlignment="1">
      <alignment horizontal="center" vertical="center"/>
    </xf>
    <xf numFmtId="0" fontId="5" fillId="24" borderId="27" xfId="0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0" fontId="16" fillId="24" borderId="0" xfId="0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  <xf numFmtId="0" fontId="5" fillId="29" borderId="26" xfId="0" applyFont="1" applyFill="1" applyBorder="1" applyAlignment="1">
      <alignment horizontal="center" vertical="center"/>
    </xf>
    <xf numFmtId="0" fontId="5" fillId="29" borderId="27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42" fontId="22" fillId="0" borderId="0" xfId="0" applyNumberFormat="1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6" fillId="15" borderId="0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42" fontId="13" fillId="0" borderId="21" xfId="0" applyNumberFormat="1" applyFont="1" applyFill="1" applyBorder="1" applyAlignment="1">
      <alignment horizontal="center" vertical="center"/>
    </xf>
    <xf numFmtId="42" fontId="13" fillId="0" borderId="20" xfId="0" applyNumberFormat="1" applyFont="1" applyFill="1" applyBorder="1" applyAlignment="1">
      <alignment horizontal="center" vertical="center"/>
    </xf>
    <xf numFmtId="42" fontId="13" fillId="0" borderId="22" xfId="0" applyNumberFormat="1" applyFont="1" applyFill="1" applyBorder="1" applyAlignment="1">
      <alignment horizontal="center" vertical="center"/>
    </xf>
    <xf numFmtId="42" fontId="13" fillId="0" borderId="13" xfId="0" applyNumberFormat="1" applyFont="1" applyFill="1" applyBorder="1" applyAlignment="1">
      <alignment horizontal="center" vertical="center"/>
    </xf>
    <xf numFmtId="42" fontId="13" fillId="0" borderId="14" xfId="0" applyNumberFormat="1" applyFont="1" applyFill="1" applyBorder="1" applyAlignment="1">
      <alignment horizontal="center" vertical="center"/>
    </xf>
    <xf numFmtId="42" fontId="13" fillId="0" borderId="15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31" borderId="26" xfId="0" applyFont="1" applyFill="1" applyBorder="1" applyAlignment="1">
      <alignment horizontal="center" vertical="center"/>
    </xf>
    <xf numFmtId="0" fontId="5" fillId="31" borderId="27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42" fontId="4" fillId="3" borderId="26" xfId="0" applyNumberFormat="1" applyFont="1" applyFill="1" applyBorder="1" applyAlignment="1">
      <alignment horizontal="center" vertical="center"/>
    </xf>
    <xf numFmtId="42" fontId="4" fillId="3" borderId="27" xfId="0" applyNumberFormat="1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6" fillId="16" borderId="26" xfId="0" applyFont="1" applyFill="1" applyBorder="1" applyAlignment="1">
      <alignment horizontal="center" vertical="center"/>
    </xf>
    <xf numFmtId="0" fontId="6" fillId="16" borderId="27" xfId="0" applyFont="1" applyFill="1" applyBorder="1" applyAlignment="1">
      <alignment horizontal="center" vertical="center"/>
    </xf>
    <xf numFmtId="0" fontId="5" fillId="30" borderId="26" xfId="0" applyFont="1" applyFill="1" applyBorder="1" applyAlignment="1">
      <alignment horizontal="center" vertical="center"/>
    </xf>
    <xf numFmtId="0" fontId="5" fillId="30" borderId="27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3" fontId="3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16" fillId="31" borderId="0" xfId="0" applyFont="1" applyFill="1" applyBorder="1" applyAlignment="1">
      <alignment horizontal="center" vertical="center"/>
    </xf>
    <xf numFmtId="0" fontId="16" fillId="31" borderId="6" xfId="0" applyFont="1" applyFill="1" applyBorder="1" applyAlignment="1">
      <alignment horizontal="center" vertical="center"/>
    </xf>
    <xf numFmtId="0" fontId="16" fillId="23" borderId="0" xfId="0" applyFont="1" applyFill="1" applyBorder="1" applyAlignment="1">
      <alignment horizontal="center" vertical="center"/>
    </xf>
    <xf numFmtId="0" fontId="16" fillId="29" borderId="0" xfId="0" applyFont="1" applyFill="1" applyBorder="1" applyAlignment="1">
      <alignment horizontal="center" vertical="center"/>
    </xf>
    <xf numFmtId="0" fontId="16" fillId="10" borderId="0" xfId="0" applyFont="1" applyFill="1" applyBorder="1" applyAlignment="1">
      <alignment horizontal="center" vertical="center"/>
    </xf>
    <xf numFmtId="0" fontId="16" fillId="30" borderId="0" xfId="0" applyFont="1" applyFill="1" applyBorder="1" applyAlignment="1">
      <alignment horizontal="center" vertical="center"/>
    </xf>
    <xf numFmtId="0" fontId="16" fillId="30" borderId="6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3" fontId="11" fillId="0" borderId="0" xfId="0" applyNumberFormat="1" applyFont="1" applyFill="1" applyBorder="1" applyAlignment="1">
      <alignment horizontal="center" vertical="center"/>
    </xf>
    <xf numFmtId="177" fontId="4" fillId="0" borderId="0" xfId="0" quotePrefix="1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2" fontId="0" fillId="0" borderId="0" xfId="0" applyNumberForma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82" fontId="4" fillId="0" borderId="0" xfId="0" applyNumberFormat="1" applyFont="1" applyFill="1" applyBorder="1" applyAlignment="1">
      <alignment horizontal="right" vertical="center"/>
    </xf>
    <xf numFmtId="0" fontId="19" fillId="0" borderId="4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42" fontId="4" fillId="0" borderId="0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D6FB7"/>
      <color rgb="FFBBE28C"/>
      <color rgb="FF9E89EB"/>
      <color rgb="FF66FF99"/>
      <color rgb="FF66FFCC"/>
      <color rgb="FFFF33CC"/>
      <color rgb="FFFFCC66"/>
      <color rgb="FFF9F963"/>
      <color rgb="FF6B60FC"/>
      <color rgb="FF81EDA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9"/>
  <sheetViews>
    <sheetView view="pageBreakPreview" topLeftCell="A4" zoomScale="70" zoomScaleNormal="85" zoomScaleSheetLayoutView="70" workbookViewId="0">
      <selection activeCell="V24" sqref="V24:W24"/>
    </sheetView>
  </sheetViews>
  <sheetFormatPr defaultColWidth="9" defaultRowHeight="16.5"/>
  <cols>
    <col min="1" max="1" width="5.625" style="1" customWidth="1"/>
    <col min="2" max="15" width="9" style="1"/>
    <col min="16" max="16" width="5.625" style="1" customWidth="1"/>
    <col min="17" max="19" width="10.625" style="1" customWidth="1"/>
    <col min="20" max="20" width="5.625" style="1" customWidth="1"/>
    <col min="21" max="23" width="10.625" style="1" customWidth="1"/>
    <col min="24" max="24" width="5.625" style="1" customWidth="1"/>
    <col min="25" max="27" width="10.625" style="1" customWidth="1"/>
    <col min="28" max="28" width="5.625" style="1" customWidth="1"/>
    <col min="29" max="31" width="10.625" style="1" customWidth="1"/>
    <col min="32" max="16384" width="9" style="1"/>
  </cols>
  <sheetData>
    <row r="1" spans="2:31" ht="17.25" thickBot="1"/>
    <row r="2" spans="2:31" ht="16.5" customHeight="1">
      <c r="B2" s="272" t="s">
        <v>8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99"/>
      <c r="Q2" s="279" t="s">
        <v>0</v>
      </c>
      <c r="R2" s="280"/>
      <c r="S2" s="281"/>
      <c r="T2" s="99"/>
      <c r="U2" s="99"/>
      <c r="V2" s="99"/>
      <c r="W2" s="99"/>
    </row>
    <row r="3" spans="2:31" ht="16.5" customHeight="1" thickBot="1"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99"/>
      <c r="Q3" s="282">
        <f>AD42</f>
        <v>4950000</v>
      </c>
      <c r="R3" s="283"/>
      <c r="S3" s="284"/>
      <c r="T3" s="99"/>
      <c r="U3" s="99"/>
      <c r="V3" s="99"/>
      <c r="W3" s="99"/>
    </row>
    <row r="4" spans="2:31" ht="21.75" customHeight="1" thickBot="1">
      <c r="B4" s="288" t="s">
        <v>13</v>
      </c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99"/>
      <c r="Q4" s="285"/>
      <c r="R4" s="286"/>
      <c r="S4" s="287"/>
      <c r="T4" s="99"/>
      <c r="U4" s="99"/>
      <c r="V4" s="99"/>
      <c r="W4" s="99"/>
    </row>
    <row r="5" spans="2:31" ht="30" customHeight="1" thickBot="1">
      <c r="B5" s="289" t="s">
        <v>11</v>
      </c>
      <c r="C5" s="290"/>
      <c r="D5" s="291" t="s">
        <v>1</v>
      </c>
      <c r="E5" s="291"/>
      <c r="F5" s="291" t="s">
        <v>5</v>
      </c>
      <c r="G5" s="291"/>
      <c r="H5" s="291" t="s">
        <v>6</v>
      </c>
      <c r="I5" s="291"/>
      <c r="J5" s="291" t="s">
        <v>2</v>
      </c>
      <c r="K5" s="291"/>
      <c r="L5" s="291" t="s">
        <v>3</v>
      </c>
      <c r="M5" s="291"/>
      <c r="N5" s="292" t="s">
        <v>7</v>
      </c>
      <c r="O5" s="293"/>
      <c r="P5" s="99"/>
      <c r="Q5" s="100"/>
      <c r="R5" s="100"/>
      <c r="S5" s="100"/>
      <c r="T5" s="99"/>
      <c r="U5" s="102"/>
      <c r="V5" s="102"/>
      <c r="W5" s="102"/>
    </row>
    <row r="6" spans="2:31" ht="17.100000000000001" customHeight="1" thickBot="1">
      <c r="B6" s="276"/>
      <c r="C6" s="277"/>
      <c r="D6" s="278"/>
      <c r="E6" s="277"/>
      <c r="F6" s="278"/>
      <c r="G6" s="277"/>
      <c r="H6" s="278"/>
      <c r="I6" s="277"/>
      <c r="J6" s="300">
        <f t="shared" ref="J6" si="0">H6+1</f>
        <v>1</v>
      </c>
      <c r="K6" s="297"/>
      <c r="L6" s="274">
        <f t="shared" ref="L6" si="1">J6+1</f>
        <v>2</v>
      </c>
      <c r="M6" s="275"/>
      <c r="N6" s="298">
        <f>L6+1</f>
        <v>3</v>
      </c>
      <c r="O6" s="299"/>
      <c r="P6" s="99"/>
      <c r="Q6" s="158" t="s">
        <v>24</v>
      </c>
      <c r="R6" s="363" t="s">
        <v>100</v>
      </c>
      <c r="S6" s="364"/>
      <c r="T6" s="134"/>
      <c r="U6" s="179" t="s">
        <v>24</v>
      </c>
      <c r="V6" s="365" t="s">
        <v>61</v>
      </c>
      <c r="W6" s="366"/>
      <c r="Y6" s="178" t="s">
        <v>24</v>
      </c>
      <c r="Z6" s="395" t="s">
        <v>61</v>
      </c>
      <c r="AA6" s="396"/>
      <c r="AC6" s="194" t="s">
        <v>24</v>
      </c>
      <c r="AD6" s="386" t="s">
        <v>96</v>
      </c>
      <c r="AE6" s="387"/>
    </row>
    <row r="7" spans="2:31" ht="17.100000000000001" customHeight="1">
      <c r="B7" s="103"/>
      <c r="C7" s="103"/>
      <c r="D7" s="104"/>
      <c r="E7" s="105"/>
      <c r="F7" s="294"/>
      <c r="G7" s="295"/>
      <c r="H7" s="106"/>
      <c r="I7" s="116"/>
      <c r="J7" s="106"/>
      <c r="K7" s="116"/>
      <c r="L7" s="127"/>
      <c r="M7" s="110"/>
      <c r="N7" s="109"/>
      <c r="O7" s="103"/>
      <c r="P7" s="99"/>
      <c r="Q7" s="159" t="s">
        <v>25</v>
      </c>
      <c r="R7" s="254" t="s">
        <v>26</v>
      </c>
      <c r="S7" s="255"/>
      <c r="T7" s="134"/>
      <c r="U7" s="159" t="s">
        <v>25</v>
      </c>
      <c r="V7" s="254" t="s">
        <v>26</v>
      </c>
      <c r="W7" s="255"/>
      <c r="Y7" s="159" t="s">
        <v>25</v>
      </c>
      <c r="Z7" s="254" t="s">
        <v>26</v>
      </c>
      <c r="AA7" s="255"/>
      <c r="AC7" s="159" t="s">
        <v>25</v>
      </c>
      <c r="AD7" s="254" t="s">
        <v>26</v>
      </c>
      <c r="AE7" s="255"/>
    </row>
    <row r="8" spans="2:31" ht="17.100000000000001" customHeight="1">
      <c r="B8" s="103"/>
      <c r="C8" s="103"/>
      <c r="D8" s="104"/>
      <c r="E8" s="105"/>
      <c r="F8" s="294"/>
      <c r="G8" s="295"/>
      <c r="H8" s="106"/>
      <c r="I8" s="116"/>
      <c r="J8" s="104"/>
      <c r="K8" s="105"/>
      <c r="L8" s="127"/>
      <c r="M8" s="110"/>
      <c r="N8" s="109"/>
      <c r="O8" s="103"/>
      <c r="P8" s="99"/>
      <c r="Q8" s="160" t="s">
        <v>27</v>
      </c>
      <c r="R8" s="256" t="s">
        <v>28</v>
      </c>
      <c r="S8" s="257"/>
      <c r="T8" s="134"/>
      <c r="U8" s="160" t="s">
        <v>27</v>
      </c>
      <c r="V8" s="256" t="s">
        <v>54</v>
      </c>
      <c r="W8" s="257"/>
      <c r="Y8" s="160" t="s">
        <v>27</v>
      </c>
      <c r="Z8" s="256" t="s">
        <v>79</v>
      </c>
      <c r="AA8" s="257"/>
      <c r="AC8" s="160" t="s">
        <v>27</v>
      </c>
      <c r="AD8" s="256" t="s">
        <v>105</v>
      </c>
      <c r="AE8" s="257"/>
    </row>
    <row r="9" spans="2:31" ht="17.100000000000001" customHeight="1">
      <c r="B9" s="103"/>
      <c r="C9" s="103"/>
      <c r="D9" s="104"/>
      <c r="E9" s="105"/>
      <c r="F9" s="294"/>
      <c r="G9" s="295"/>
      <c r="H9" s="104"/>
      <c r="I9" s="105"/>
      <c r="J9" s="104"/>
      <c r="K9" s="105"/>
      <c r="L9" s="109"/>
      <c r="M9" s="110"/>
      <c r="N9" s="109"/>
      <c r="O9" s="103"/>
      <c r="P9" s="99"/>
      <c r="Q9" s="160" t="s">
        <v>29</v>
      </c>
      <c r="R9" s="256" t="s">
        <v>30</v>
      </c>
      <c r="S9" s="257"/>
      <c r="T9" s="134"/>
      <c r="U9" s="160" t="s">
        <v>29</v>
      </c>
      <c r="V9" s="256" t="s">
        <v>30</v>
      </c>
      <c r="W9" s="257"/>
      <c r="Y9" s="160" t="s">
        <v>29</v>
      </c>
      <c r="Z9" s="256" t="s">
        <v>30</v>
      </c>
      <c r="AA9" s="257"/>
      <c r="AC9" s="160" t="s">
        <v>29</v>
      </c>
      <c r="AD9" s="256" t="s">
        <v>30</v>
      </c>
      <c r="AE9" s="257"/>
    </row>
    <row r="10" spans="2:31" ht="17.100000000000001" customHeight="1">
      <c r="B10" s="103"/>
      <c r="C10" s="103"/>
      <c r="D10" s="104"/>
      <c r="E10" s="105"/>
      <c r="F10" s="104"/>
      <c r="G10" s="105"/>
      <c r="H10" s="104"/>
      <c r="I10" s="105"/>
      <c r="J10" s="104"/>
      <c r="K10" s="105"/>
      <c r="L10" s="109"/>
      <c r="M10" s="110"/>
      <c r="N10" s="109"/>
      <c r="O10" s="103"/>
      <c r="P10" s="99"/>
      <c r="Q10" s="161" t="s">
        <v>31</v>
      </c>
      <c r="R10" s="258" t="s">
        <v>36</v>
      </c>
      <c r="S10" s="259"/>
      <c r="T10" s="134"/>
      <c r="U10" s="161" t="s">
        <v>31</v>
      </c>
      <c r="V10" s="258" t="s">
        <v>55</v>
      </c>
      <c r="W10" s="259"/>
      <c r="Y10" s="161" t="s">
        <v>31</v>
      </c>
      <c r="Z10" s="258" t="s">
        <v>80</v>
      </c>
      <c r="AA10" s="259"/>
      <c r="AC10" s="161" t="s">
        <v>31</v>
      </c>
      <c r="AD10" s="258" t="s">
        <v>98</v>
      </c>
      <c r="AE10" s="259"/>
    </row>
    <row r="11" spans="2:31" ht="17.100000000000001" customHeight="1" thickBot="1">
      <c r="B11" s="111"/>
      <c r="C11" s="111"/>
      <c r="D11" s="112"/>
      <c r="E11" s="113"/>
      <c r="F11" s="112"/>
      <c r="G11" s="113"/>
      <c r="H11" s="112"/>
      <c r="I11" s="113"/>
      <c r="J11" s="112"/>
      <c r="K11" s="113"/>
      <c r="L11" s="112"/>
      <c r="M11" s="113"/>
      <c r="N11" s="112"/>
      <c r="O11" s="111"/>
      <c r="P11" s="99"/>
      <c r="Q11" s="193"/>
      <c r="R11" s="258" t="s">
        <v>99</v>
      </c>
      <c r="S11" s="259"/>
      <c r="T11" s="102"/>
      <c r="U11" s="193"/>
      <c r="V11" s="258" t="s">
        <v>95</v>
      </c>
      <c r="W11" s="259"/>
      <c r="Y11" s="162" t="s">
        <v>32</v>
      </c>
      <c r="Z11" s="260" t="s">
        <v>33</v>
      </c>
      <c r="AA11" s="261"/>
      <c r="AC11" s="162" t="s">
        <v>32</v>
      </c>
      <c r="AD11" s="260" t="s">
        <v>33</v>
      </c>
      <c r="AE11" s="261"/>
    </row>
    <row r="12" spans="2:31" ht="17.100000000000001" customHeight="1" thickBot="1">
      <c r="B12" s="296">
        <f>N6+1</f>
        <v>4</v>
      </c>
      <c r="C12" s="297"/>
      <c r="D12" s="274">
        <f>B12+1</f>
        <v>5</v>
      </c>
      <c r="E12" s="275"/>
      <c r="F12" s="274">
        <f>D12+1</f>
        <v>6</v>
      </c>
      <c r="G12" s="275"/>
      <c r="H12" s="274">
        <f t="shared" ref="H12" si="2">F12+1</f>
        <v>7</v>
      </c>
      <c r="I12" s="275"/>
      <c r="J12" s="274">
        <f t="shared" ref="J12" si="3">H12+1</f>
        <v>8</v>
      </c>
      <c r="K12" s="275"/>
      <c r="L12" s="274">
        <f t="shared" ref="L12" si="4">J12+1</f>
        <v>9</v>
      </c>
      <c r="M12" s="275"/>
      <c r="N12" s="298">
        <f t="shared" ref="N12" si="5">L12+1</f>
        <v>10</v>
      </c>
      <c r="O12" s="299"/>
      <c r="P12" s="99"/>
      <c r="Q12" s="162" t="s">
        <v>32</v>
      </c>
      <c r="R12" s="260" t="s">
        <v>33</v>
      </c>
      <c r="S12" s="261"/>
      <c r="T12" s="134"/>
      <c r="U12" s="193"/>
      <c r="V12" s="258" t="s">
        <v>102</v>
      </c>
      <c r="W12" s="259"/>
    </row>
    <row r="13" spans="2:31" ht="17.100000000000001" customHeight="1" thickBot="1">
      <c r="B13" s="103"/>
      <c r="C13" s="103"/>
      <c r="D13" s="106"/>
      <c r="E13" s="116"/>
      <c r="F13" s="106"/>
      <c r="G13" s="116"/>
      <c r="H13" s="106"/>
      <c r="I13" s="116"/>
      <c r="J13" s="349" t="s">
        <v>37</v>
      </c>
      <c r="K13" s="350"/>
      <c r="L13" s="106"/>
      <c r="M13" s="116"/>
      <c r="N13" s="106"/>
      <c r="O13" s="107"/>
      <c r="P13" s="99"/>
      <c r="Q13" s="163" t="s">
        <v>34</v>
      </c>
      <c r="R13" s="264">
        <v>46041</v>
      </c>
      <c r="S13" s="265"/>
      <c r="T13" s="134"/>
      <c r="U13" s="162" t="s">
        <v>32</v>
      </c>
      <c r="V13" s="260" t="s">
        <v>33</v>
      </c>
      <c r="W13" s="261"/>
      <c r="Y13" s="182" t="s">
        <v>24</v>
      </c>
      <c r="Z13" s="371" t="s">
        <v>61</v>
      </c>
      <c r="AA13" s="372"/>
      <c r="AC13" s="197" t="s">
        <v>24</v>
      </c>
      <c r="AD13" s="252" t="s">
        <v>106</v>
      </c>
      <c r="AE13" s="253"/>
    </row>
    <row r="14" spans="2:31" ht="17.100000000000001" customHeight="1" thickBot="1">
      <c r="B14" s="103"/>
      <c r="C14" s="103"/>
      <c r="D14" s="106"/>
      <c r="E14" s="116"/>
      <c r="F14" s="106"/>
      <c r="G14" s="116"/>
      <c r="H14" s="106"/>
      <c r="I14" s="116"/>
      <c r="J14" s="351" t="s">
        <v>38</v>
      </c>
      <c r="K14" s="352"/>
      <c r="L14" s="104"/>
      <c r="M14" s="105"/>
      <c r="N14" s="104"/>
      <c r="O14" s="108"/>
      <c r="P14" s="99"/>
      <c r="T14" s="102"/>
      <c r="U14" s="102"/>
      <c r="V14" s="114"/>
      <c r="W14" s="114"/>
      <c r="Y14" s="159" t="s">
        <v>25</v>
      </c>
      <c r="Z14" s="254" t="s">
        <v>26</v>
      </c>
      <c r="AA14" s="255"/>
      <c r="AC14" s="159" t="s">
        <v>25</v>
      </c>
      <c r="AD14" s="254" t="s">
        <v>26</v>
      </c>
      <c r="AE14" s="255"/>
    </row>
    <row r="15" spans="2:31" ht="17.100000000000001" customHeight="1" thickBot="1">
      <c r="B15" s="103"/>
      <c r="C15" s="103"/>
      <c r="D15" s="104"/>
      <c r="E15" s="105"/>
      <c r="F15" s="104"/>
      <c r="G15" s="105"/>
      <c r="H15" s="104"/>
      <c r="I15" s="105"/>
      <c r="J15" s="104"/>
      <c r="K15" s="105"/>
      <c r="L15" s="104"/>
      <c r="M15" s="105"/>
      <c r="N15" s="104"/>
      <c r="O15" s="108"/>
      <c r="P15" s="99"/>
      <c r="Q15" s="164" t="s">
        <v>24</v>
      </c>
      <c r="R15" s="347"/>
      <c r="S15" s="348"/>
      <c r="T15" s="102"/>
      <c r="U15" s="176" t="s">
        <v>24</v>
      </c>
      <c r="V15" s="369" t="s">
        <v>61</v>
      </c>
      <c r="W15" s="370"/>
      <c r="Y15" s="160" t="s">
        <v>27</v>
      </c>
      <c r="Z15" s="256" t="s">
        <v>70</v>
      </c>
      <c r="AA15" s="257"/>
      <c r="AC15" s="160" t="s">
        <v>27</v>
      </c>
      <c r="AD15" s="256" t="s">
        <v>103</v>
      </c>
      <c r="AE15" s="257"/>
    </row>
    <row r="16" spans="2:31" ht="17.100000000000001" customHeight="1">
      <c r="B16" s="103"/>
      <c r="C16" s="103"/>
      <c r="D16" s="109"/>
      <c r="E16" s="110"/>
      <c r="F16" s="109"/>
      <c r="G16" s="110"/>
      <c r="H16" s="109"/>
      <c r="I16" s="110"/>
      <c r="J16" s="109"/>
      <c r="K16" s="110"/>
      <c r="L16" s="109"/>
      <c r="M16" s="110"/>
      <c r="N16" s="109"/>
      <c r="O16" s="103"/>
      <c r="P16" s="99"/>
      <c r="Q16" s="159" t="s">
        <v>25</v>
      </c>
      <c r="R16" s="254" t="s">
        <v>26</v>
      </c>
      <c r="S16" s="255"/>
      <c r="T16" s="102"/>
      <c r="U16" s="159" t="s">
        <v>25</v>
      </c>
      <c r="V16" s="254" t="s">
        <v>26</v>
      </c>
      <c r="W16" s="255"/>
      <c r="Y16" s="160" t="s">
        <v>29</v>
      </c>
      <c r="Z16" s="256" t="s">
        <v>30</v>
      </c>
      <c r="AA16" s="257"/>
      <c r="AC16" s="160" t="s">
        <v>29</v>
      </c>
      <c r="AD16" s="256" t="s">
        <v>30</v>
      </c>
      <c r="AE16" s="257"/>
    </row>
    <row r="17" spans="2:31" ht="17.100000000000001" customHeight="1">
      <c r="B17" s="111"/>
      <c r="C17" s="111"/>
      <c r="D17" s="112"/>
      <c r="E17" s="113"/>
      <c r="F17" s="112"/>
      <c r="G17" s="113"/>
      <c r="H17" s="112"/>
      <c r="I17" s="113"/>
      <c r="J17" s="112"/>
      <c r="K17" s="113"/>
      <c r="L17" s="112"/>
      <c r="M17" s="113"/>
      <c r="N17" s="112"/>
      <c r="O17" s="111"/>
      <c r="P17" s="99"/>
      <c r="Q17" s="160" t="s">
        <v>27</v>
      </c>
      <c r="R17" s="256" t="s">
        <v>35</v>
      </c>
      <c r="S17" s="257"/>
      <c r="T17" s="102"/>
      <c r="U17" s="160" t="s">
        <v>27</v>
      </c>
      <c r="V17" s="256" t="s">
        <v>56</v>
      </c>
      <c r="W17" s="257"/>
      <c r="Y17" s="161" t="s">
        <v>31</v>
      </c>
      <c r="Z17" s="258" t="s">
        <v>55</v>
      </c>
      <c r="AA17" s="259"/>
      <c r="AC17" s="161" t="s">
        <v>31</v>
      </c>
      <c r="AD17" s="258" t="s">
        <v>98</v>
      </c>
      <c r="AE17" s="259"/>
    </row>
    <row r="18" spans="2:31" ht="17.100000000000001" customHeight="1" thickBot="1">
      <c r="B18" s="296">
        <f>N12+1</f>
        <v>11</v>
      </c>
      <c r="C18" s="297"/>
      <c r="D18" s="274">
        <f>B18+1</f>
        <v>12</v>
      </c>
      <c r="E18" s="275"/>
      <c r="F18" s="274">
        <f>D18+1</f>
        <v>13</v>
      </c>
      <c r="G18" s="275"/>
      <c r="H18" s="274">
        <f t="shared" ref="H18" si="6">F18+1</f>
        <v>14</v>
      </c>
      <c r="I18" s="275"/>
      <c r="J18" s="274">
        <f t="shared" ref="J18" si="7">H18+1</f>
        <v>15</v>
      </c>
      <c r="K18" s="275"/>
      <c r="L18" s="274">
        <f t="shared" ref="L18" si="8">J18+1</f>
        <v>16</v>
      </c>
      <c r="M18" s="275"/>
      <c r="N18" s="298">
        <f t="shared" ref="N18" si="9">L18+1</f>
        <v>17</v>
      </c>
      <c r="O18" s="299"/>
      <c r="P18" s="99"/>
      <c r="Q18" s="160" t="s">
        <v>29</v>
      </c>
      <c r="R18" s="256" t="s">
        <v>30</v>
      </c>
      <c r="S18" s="257"/>
      <c r="T18" s="102"/>
      <c r="U18" s="160" t="s">
        <v>29</v>
      </c>
      <c r="V18" s="256" t="s">
        <v>30</v>
      </c>
      <c r="W18" s="257"/>
      <c r="Y18" s="162" t="s">
        <v>32</v>
      </c>
      <c r="Z18" s="260" t="s">
        <v>33</v>
      </c>
      <c r="AA18" s="261"/>
      <c r="AC18" s="162" t="s">
        <v>32</v>
      </c>
      <c r="AD18" s="260" t="s">
        <v>33</v>
      </c>
      <c r="AE18" s="261"/>
    </row>
    <row r="19" spans="2:31" ht="17.100000000000001" customHeight="1" thickBot="1">
      <c r="B19" s="107"/>
      <c r="C19" s="116"/>
      <c r="D19" s="315" t="s">
        <v>49</v>
      </c>
      <c r="E19" s="316"/>
      <c r="F19" s="309" t="s">
        <v>50</v>
      </c>
      <c r="G19" s="310"/>
      <c r="H19" s="309" t="s">
        <v>50</v>
      </c>
      <c r="I19" s="310"/>
      <c r="J19" s="106"/>
      <c r="K19" s="116"/>
      <c r="L19" s="106"/>
      <c r="M19" s="116"/>
      <c r="N19" s="106"/>
      <c r="O19" s="107"/>
      <c r="P19" s="99"/>
      <c r="Q19" s="161" t="s">
        <v>31</v>
      </c>
      <c r="R19" s="258" t="s">
        <v>36</v>
      </c>
      <c r="S19" s="259"/>
      <c r="T19" s="102"/>
      <c r="U19" s="161" t="s">
        <v>31</v>
      </c>
      <c r="V19" s="258" t="s">
        <v>55</v>
      </c>
      <c r="W19" s="259"/>
      <c r="AC19" s="163" t="s">
        <v>34</v>
      </c>
      <c r="AD19" s="264">
        <v>46062</v>
      </c>
      <c r="AE19" s="265"/>
    </row>
    <row r="20" spans="2:31" ht="17.100000000000001" customHeight="1" thickBot="1">
      <c r="B20" s="108"/>
      <c r="C20" s="108"/>
      <c r="D20" s="309" t="s">
        <v>50</v>
      </c>
      <c r="E20" s="310"/>
      <c r="F20" s="343" t="s">
        <v>52</v>
      </c>
      <c r="G20" s="344"/>
      <c r="H20" s="343" t="s">
        <v>52</v>
      </c>
      <c r="I20" s="344"/>
      <c r="J20" s="109"/>
      <c r="K20" s="110"/>
      <c r="L20" s="109"/>
      <c r="M20" s="110"/>
      <c r="N20" s="109"/>
      <c r="O20" s="103"/>
      <c r="P20" s="99"/>
      <c r="Q20" s="193"/>
      <c r="R20" s="258" t="s">
        <v>88</v>
      </c>
      <c r="S20" s="259"/>
      <c r="T20" s="102"/>
      <c r="U20" s="162" t="s">
        <v>32</v>
      </c>
      <c r="V20" s="260" t="s">
        <v>33</v>
      </c>
      <c r="W20" s="261"/>
      <c r="Y20" s="183" t="s">
        <v>24</v>
      </c>
      <c r="Z20" s="373" t="s">
        <v>61</v>
      </c>
      <c r="AA20" s="374"/>
    </row>
    <row r="21" spans="2:31" ht="17.100000000000001" customHeight="1" thickBot="1">
      <c r="B21" s="108"/>
      <c r="C21" s="108"/>
      <c r="D21" s="343" t="s">
        <v>52</v>
      </c>
      <c r="E21" s="344"/>
      <c r="F21" s="106"/>
      <c r="G21" s="116"/>
      <c r="H21" s="106"/>
      <c r="I21" s="116"/>
      <c r="J21" s="106"/>
      <c r="K21" s="116"/>
      <c r="L21" s="109"/>
      <c r="M21" s="110"/>
      <c r="N21" s="109"/>
      <c r="O21" s="103"/>
      <c r="P21" s="99"/>
      <c r="Q21" s="193"/>
      <c r="R21" s="258" t="s">
        <v>101</v>
      </c>
      <c r="S21" s="259"/>
      <c r="T21" s="102"/>
      <c r="U21" s="115"/>
      <c r="V21" s="117"/>
      <c r="W21" s="117"/>
      <c r="Y21" s="159" t="s">
        <v>25</v>
      </c>
      <c r="Z21" s="254" t="s">
        <v>26</v>
      </c>
      <c r="AA21" s="255"/>
    </row>
    <row r="22" spans="2:31" ht="17.100000000000001" customHeight="1" thickBot="1">
      <c r="B22" s="108"/>
      <c r="C22" s="108"/>
      <c r="D22" s="104"/>
      <c r="E22" s="105"/>
      <c r="F22" s="104"/>
      <c r="G22" s="105"/>
      <c r="H22" s="104"/>
      <c r="I22" s="105"/>
      <c r="J22" s="106"/>
      <c r="K22" s="116"/>
      <c r="L22" s="109"/>
      <c r="M22" s="110"/>
      <c r="N22" s="109"/>
      <c r="O22" s="103"/>
      <c r="P22" s="99"/>
      <c r="Q22" s="162" t="s">
        <v>32</v>
      </c>
      <c r="R22" s="260" t="s">
        <v>33</v>
      </c>
      <c r="S22" s="261"/>
      <c r="T22" s="102"/>
      <c r="U22" s="174" t="s">
        <v>24</v>
      </c>
      <c r="V22" s="345" t="s">
        <v>61</v>
      </c>
      <c r="W22" s="346"/>
      <c r="Y22" s="160" t="s">
        <v>27</v>
      </c>
      <c r="Z22" s="256" t="s">
        <v>71</v>
      </c>
      <c r="AA22" s="257"/>
      <c r="AC22" s="198" t="s">
        <v>9</v>
      </c>
      <c r="AD22" s="201" t="s">
        <v>107</v>
      </c>
      <c r="AE22" s="202">
        <v>2</v>
      </c>
    </row>
    <row r="23" spans="2:31" ht="17.100000000000001" customHeight="1" thickBot="1">
      <c r="B23" s="111"/>
      <c r="C23" s="111"/>
      <c r="D23" s="112"/>
      <c r="E23" s="113"/>
      <c r="F23" s="112"/>
      <c r="G23" s="113"/>
      <c r="H23" s="112"/>
      <c r="I23" s="113"/>
      <c r="J23" s="112"/>
      <c r="K23" s="113"/>
      <c r="L23" s="112"/>
      <c r="M23" s="113"/>
      <c r="N23" s="112"/>
      <c r="O23" s="111"/>
      <c r="P23" s="99"/>
      <c r="T23" s="102"/>
      <c r="U23" s="159" t="s">
        <v>25</v>
      </c>
      <c r="V23" s="254" t="s">
        <v>26</v>
      </c>
      <c r="W23" s="255"/>
      <c r="Y23" s="160" t="s">
        <v>29</v>
      </c>
      <c r="Z23" s="256" t="s">
        <v>30</v>
      </c>
      <c r="AA23" s="257"/>
      <c r="AC23" s="199"/>
      <c r="AD23" s="203" t="s">
        <v>108</v>
      </c>
      <c r="AE23" s="204">
        <v>3</v>
      </c>
    </row>
    <row r="24" spans="2:31" ht="17.100000000000001" customHeight="1" thickBot="1">
      <c r="B24" s="296">
        <f>N18+1</f>
        <v>18</v>
      </c>
      <c r="C24" s="297"/>
      <c r="D24" s="274">
        <f>B24+1</f>
        <v>19</v>
      </c>
      <c r="E24" s="275"/>
      <c r="F24" s="274">
        <f>D24+1</f>
        <v>20</v>
      </c>
      <c r="G24" s="275"/>
      <c r="H24" s="274">
        <f t="shared" ref="H24" si="10">F24+1</f>
        <v>21</v>
      </c>
      <c r="I24" s="275"/>
      <c r="J24" s="274">
        <f t="shared" ref="J24" si="11">H24+1</f>
        <v>22</v>
      </c>
      <c r="K24" s="275"/>
      <c r="L24" s="274">
        <f t="shared" ref="L24" si="12">J24+1</f>
        <v>23</v>
      </c>
      <c r="M24" s="275"/>
      <c r="N24" s="298">
        <f>L24+1</f>
        <v>24</v>
      </c>
      <c r="O24" s="299"/>
      <c r="P24" s="99"/>
      <c r="Q24" s="167" t="s">
        <v>39</v>
      </c>
      <c r="R24" s="266" t="s">
        <v>46</v>
      </c>
      <c r="S24" s="267"/>
      <c r="T24" s="102"/>
      <c r="U24" s="160" t="s">
        <v>27</v>
      </c>
      <c r="V24" s="256" t="s">
        <v>57</v>
      </c>
      <c r="W24" s="257"/>
      <c r="Y24" s="161" t="s">
        <v>31</v>
      </c>
      <c r="Z24" s="258" t="s">
        <v>55</v>
      </c>
      <c r="AA24" s="259"/>
      <c r="AC24" s="199"/>
      <c r="AD24" s="203" t="s">
        <v>109</v>
      </c>
      <c r="AE24" s="204">
        <v>9</v>
      </c>
    </row>
    <row r="25" spans="2:31" ht="17.100000000000001" customHeight="1" thickBot="1">
      <c r="B25" s="107"/>
      <c r="C25" s="116"/>
      <c r="D25" s="315" t="s">
        <v>49</v>
      </c>
      <c r="E25" s="316"/>
      <c r="F25" s="315" t="s">
        <v>49</v>
      </c>
      <c r="G25" s="316"/>
      <c r="H25" s="326" t="s">
        <v>62</v>
      </c>
      <c r="I25" s="327"/>
      <c r="J25" s="353" t="s">
        <v>62</v>
      </c>
      <c r="K25" s="327"/>
      <c r="L25" s="313" t="s">
        <v>87</v>
      </c>
      <c r="M25" s="312"/>
      <c r="N25" s="311" t="s">
        <v>87</v>
      </c>
      <c r="O25" s="312"/>
      <c r="P25" s="99"/>
      <c r="Q25" s="159" t="s">
        <v>25</v>
      </c>
      <c r="R25" s="254" t="s">
        <v>40</v>
      </c>
      <c r="S25" s="255"/>
      <c r="T25" s="102"/>
      <c r="U25" s="160" t="s">
        <v>29</v>
      </c>
      <c r="V25" s="256" t="s">
        <v>30</v>
      </c>
      <c r="W25" s="257"/>
      <c r="Y25" s="162" t="s">
        <v>32</v>
      </c>
      <c r="Z25" s="260" t="s">
        <v>33</v>
      </c>
      <c r="AA25" s="261"/>
      <c r="AC25" s="199"/>
      <c r="AD25" s="203" t="s">
        <v>110</v>
      </c>
      <c r="AE25" s="204">
        <v>7</v>
      </c>
    </row>
    <row r="26" spans="2:31" ht="17.100000000000001" customHeight="1" thickBot="1">
      <c r="B26" s="103"/>
      <c r="C26" s="108"/>
      <c r="D26" s="309" t="s">
        <v>50</v>
      </c>
      <c r="E26" s="310"/>
      <c r="F26" s="309" t="s">
        <v>50</v>
      </c>
      <c r="G26" s="310"/>
      <c r="H26" s="328" t="s">
        <v>63</v>
      </c>
      <c r="I26" s="329"/>
      <c r="J26" s="354" t="s">
        <v>63</v>
      </c>
      <c r="K26" s="329"/>
      <c r="L26" s="103"/>
      <c r="M26" s="110"/>
      <c r="N26" s="109"/>
      <c r="O26" s="103"/>
      <c r="P26" s="99"/>
      <c r="Q26" s="165" t="s">
        <v>27</v>
      </c>
      <c r="R26" s="268" t="s">
        <v>41</v>
      </c>
      <c r="S26" s="269"/>
      <c r="T26" s="102"/>
      <c r="U26" s="161" t="s">
        <v>31</v>
      </c>
      <c r="V26" s="258" t="s">
        <v>55</v>
      </c>
      <c r="W26" s="259"/>
      <c r="AC26" s="199"/>
      <c r="AD26" s="203" t="s">
        <v>111</v>
      </c>
      <c r="AE26" s="204">
        <v>3</v>
      </c>
    </row>
    <row r="27" spans="2:31" ht="17.100000000000001" customHeight="1" thickBot="1">
      <c r="B27" s="103"/>
      <c r="C27" s="108"/>
      <c r="D27" s="106"/>
      <c r="E27" s="116"/>
      <c r="F27" s="106"/>
      <c r="G27" s="116"/>
      <c r="H27" s="367" t="s">
        <v>64</v>
      </c>
      <c r="I27" s="356"/>
      <c r="J27" s="355" t="s">
        <v>64</v>
      </c>
      <c r="K27" s="356"/>
      <c r="L27" s="103"/>
      <c r="M27" s="110"/>
      <c r="N27" s="109"/>
      <c r="O27" s="103"/>
      <c r="P27" s="99"/>
      <c r="Q27" s="165" t="s">
        <v>29</v>
      </c>
      <c r="R27" s="268" t="s">
        <v>42</v>
      </c>
      <c r="S27" s="269"/>
      <c r="T27" s="102"/>
      <c r="U27" s="162" t="s">
        <v>32</v>
      </c>
      <c r="V27" s="260" t="s">
        <v>33</v>
      </c>
      <c r="W27" s="261"/>
      <c r="Y27" s="190" t="s">
        <v>24</v>
      </c>
      <c r="Z27" s="375" t="s">
        <v>61</v>
      </c>
      <c r="AA27" s="376"/>
      <c r="AC27" s="199"/>
      <c r="AD27" s="203" t="s">
        <v>112</v>
      </c>
      <c r="AE27" s="204">
        <v>5</v>
      </c>
    </row>
    <row r="28" spans="2:31" ht="17.100000000000001" customHeight="1" thickBot="1">
      <c r="B28" s="103"/>
      <c r="C28" s="108"/>
      <c r="D28" s="106"/>
      <c r="E28" s="116"/>
      <c r="F28" s="106"/>
      <c r="G28" s="116"/>
      <c r="H28" s="368" t="s">
        <v>65</v>
      </c>
      <c r="I28" s="358"/>
      <c r="J28" s="357" t="s">
        <v>65</v>
      </c>
      <c r="K28" s="358"/>
      <c r="L28" s="103"/>
      <c r="M28" s="110"/>
      <c r="N28" s="109"/>
      <c r="O28" s="103"/>
      <c r="P28" s="99"/>
      <c r="Q28" s="166" t="s">
        <v>43</v>
      </c>
      <c r="R28" s="258" t="s">
        <v>47</v>
      </c>
      <c r="S28" s="259"/>
      <c r="T28" s="102"/>
      <c r="Y28" s="159" t="s">
        <v>25</v>
      </c>
      <c r="Z28" s="254" t="s">
        <v>26</v>
      </c>
      <c r="AA28" s="255"/>
      <c r="AC28" s="199"/>
      <c r="AD28" s="203" t="s">
        <v>113</v>
      </c>
      <c r="AE28" s="204">
        <v>2</v>
      </c>
    </row>
    <row r="29" spans="2:31" ht="17.100000000000001" customHeight="1" thickBot="1">
      <c r="B29" s="103"/>
      <c r="C29" s="171"/>
      <c r="D29" s="170"/>
      <c r="E29" s="171"/>
      <c r="F29" s="170"/>
      <c r="G29" s="195"/>
      <c r="H29" s="392" t="s">
        <v>66</v>
      </c>
      <c r="I29" s="360"/>
      <c r="J29" s="359" t="s">
        <v>66</v>
      </c>
      <c r="K29" s="360"/>
      <c r="L29" s="103"/>
      <c r="M29" s="110"/>
      <c r="N29" s="109"/>
      <c r="O29" s="103"/>
      <c r="P29" s="99"/>
      <c r="Q29" s="166"/>
      <c r="R29" s="258" t="s">
        <v>68</v>
      </c>
      <c r="S29" s="259"/>
      <c r="T29" s="102"/>
      <c r="U29" s="175" t="s">
        <v>24</v>
      </c>
      <c r="V29" s="319" t="s">
        <v>61</v>
      </c>
      <c r="W29" s="320"/>
      <c r="Y29" s="160" t="s">
        <v>27</v>
      </c>
      <c r="Z29" s="256" t="s">
        <v>75</v>
      </c>
      <c r="AA29" s="257"/>
      <c r="AC29" s="199"/>
      <c r="AD29" s="203" t="s">
        <v>114</v>
      </c>
      <c r="AE29" s="204">
        <v>2</v>
      </c>
    </row>
    <row r="30" spans="2:31" ht="17.100000000000001" customHeight="1">
      <c r="B30" s="103"/>
      <c r="C30" s="172"/>
      <c r="D30" s="170"/>
      <c r="E30" s="171"/>
      <c r="F30" s="170"/>
      <c r="G30" s="195"/>
      <c r="H30" s="330" t="s">
        <v>67</v>
      </c>
      <c r="I30" s="331"/>
      <c r="J30" s="361" t="s">
        <v>67</v>
      </c>
      <c r="K30" s="331"/>
      <c r="L30" s="103"/>
      <c r="M30" s="110"/>
      <c r="N30" s="109"/>
      <c r="O30" s="103"/>
      <c r="P30" s="99"/>
      <c r="Q30" s="166"/>
      <c r="R30" s="258" t="s">
        <v>92</v>
      </c>
      <c r="S30" s="259"/>
      <c r="T30" s="102"/>
      <c r="U30" s="159" t="s">
        <v>25</v>
      </c>
      <c r="V30" s="254" t="s">
        <v>26</v>
      </c>
      <c r="W30" s="255"/>
      <c r="Y30" s="160" t="s">
        <v>29</v>
      </c>
      <c r="Z30" s="256" t="s">
        <v>30</v>
      </c>
      <c r="AA30" s="257"/>
      <c r="AC30" s="199"/>
      <c r="AD30" s="130" t="s">
        <v>115</v>
      </c>
      <c r="AE30" s="205">
        <v>2</v>
      </c>
    </row>
    <row r="31" spans="2:31" ht="17.100000000000001" customHeight="1" thickBot="1">
      <c r="B31" s="103"/>
      <c r="C31" s="172"/>
      <c r="D31" s="170"/>
      <c r="E31" s="171"/>
      <c r="F31" s="170"/>
      <c r="G31" s="195"/>
      <c r="H31" s="332" t="s">
        <v>73</v>
      </c>
      <c r="I31" s="333"/>
      <c r="J31" s="362" t="s">
        <v>73</v>
      </c>
      <c r="K31" s="333"/>
      <c r="L31" s="103"/>
      <c r="M31" s="110"/>
      <c r="N31" s="109"/>
      <c r="O31" s="103"/>
      <c r="P31" s="99"/>
      <c r="Q31" s="165" t="s">
        <v>32</v>
      </c>
      <c r="R31" s="321" t="s">
        <v>44</v>
      </c>
      <c r="S31" s="322"/>
      <c r="T31" s="102"/>
      <c r="U31" s="160" t="s">
        <v>27</v>
      </c>
      <c r="V31" s="256" t="s">
        <v>58</v>
      </c>
      <c r="W31" s="257"/>
      <c r="Y31" s="161" t="s">
        <v>31</v>
      </c>
      <c r="Z31" s="258" t="s">
        <v>89</v>
      </c>
      <c r="AA31" s="259"/>
      <c r="AC31" s="199"/>
      <c r="AD31" s="200" t="s">
        <v>116</v>
      </c>
      <c r="AE31" s="204">
        <v>2</v>
      </c>
    </row>
    <row r="32" spans="2:31" ht="17.100000000000001" customHeight="1" thickBot="1">
      <c r="B32" s="103"/>
      <c r="C32" s="172"/>
      <c r="D32" s="180"/>
      <c r="E32" s="181"/>
      <c r="F32" s="180"/>
      <c r="G32" s="195"/>
      <c r="H32" s="389" t="s">
        <v>72</v>
      </c>
      <c r="I32" s="390"/>
      <c r="J32" s="393" t="s">
        <v>72</v>
      </c>
      <c r="K32" s="390"/>
      <c r="L32" s="103"/>
      <c r="M32" s="110"/>
      <c r="N32" s="109"/>
      <c r="O32" s="103"/>
      <c r="P32" s="99"/>
      <c r="Q32" s="163" t="s">
        <v>45</v>
      </c>
      <c r="R32" s="264">
        <v>46056</v>
      </c>
      <c r="S32" s="265"/>
      <c r="T32" s="102"/>
      <c r="U32" s="160" t="s">
        <v>29</v>
      </c>
      <c r="V32" s="256" t="s">
        <v>30</v>
      </c>
      <c r="W32" s="257"/>
      <c r="Y32" s="162" t="s">
        <v>32</v>
      </c>
      <c r="Z32" s="260" t="s">
        <v>33</v>
      </c>
      <c r="AA32" s="261"/>
      <c r="AC32" s="199"/>
      <c r="AD32" s="200" t="s">
        <v>117</v>
      </c>
      <c r="AE32" s="204">
        <v>2</v>
      </c>
    </row>
    <row r="33" spans="1:31" ht="17.100000000000001" customHeight="1" thickBot="1">
      <c r="B33" s="103"/>
      <c r="C33" s="172"/>
      <c r="D33" s="109"/>
      <c r="E33" s="110"/>
      <c r="F33" s="109"/>
      <c r="G33" s="110"/>
      <c r="H33" s="307" t="s">
        <v>74</v>
      </c>
      <c r="I33" s="308"/>
      <c r="J33" s="305" t="s">
        <v>81</v>
      </c>
      <c r="K33" s="306"/>
      <c r="L33" s="103"/>
      <c r="M33" s="110"/>
      <c r="N33" s="109"/>
      <c r="O33" s="103"/>
      <c r="P33" s="99"/>
      <c r="Q33" s="115"/>
      <c r="R33" s="117"/>
      <c r="S33" s="117"/>
      <c r="T33" s="99"/>
      <c r="U33" s="161" t="s">
        <v>31</v>
      </c>
      <c r="V33" s="258" t="s">
        <v>55</v>
      </c>
      <c r="W33" s="259"/>
      <c r="AC33" s="199"/>
      <c r="AD33" s="200" t="s">
        <v>118</v>
      </c>
      <c r="AE33" s="204">
        <v>1</v>
      </c>
    </row>
    <row r="34" spans="1:31" ht="16.5" customHeight="1" thickBot="1">
      <c r="B34" s="103"/>
      <c r="C34" s="172"/>
      <c r="D34" s="170"/>
      <c r="E34" s="171"/>
      <c r="F34" s="170"/>
      <c r="G34" s="195"/>
      <c r="H34" s="391" t="s">
        <v>76</v>
      </c>
      <c r="I34" s="325"/>
      <c r="J34" s="394" t="s">
        <v>74</v>
      </c>
      <c r="K34" s="308"/>
      <c r="L34" s="103"/>
      <c r="M34" s="110"/>
      <c r="N34" s="109"/>
      <c r="O34" s="103"/>
      <c r="P34" s="99"/>
      <c r="Q34" s="168" t="s">
        <v>39</v>
      </c>
      <c r="R34" s="317" t="s">
        <v>48</v>
      </c>
      <c r="S34" s="318"/>
      <c r="T34" s="99"/>
      <c r="U34" s="162" t="s">
        <v>32</v>
      </c>
      <c r="V34" s="260" t="s">
        <v>33</v>
      </c>
      <c r="W34" s="261"/>
      <c r="Y34" s="191" t="s">
        <v>24</v>
      </c>
      <c r="Z34" s="270" t="s">
        <v>61</v>
      </c>
      <c r="AA34" s="271"/>
      <c r="AC34" s="199"/>
      <c r="AD34" s="200" t="s">
        <v>119</v>
      </c>
      <c r="AE34" s="204">
        <v>2</v>
      </c>
    </row>
    <row r="35" spans="1:31" ht="17.100000000000001" customHeight="1" thickBot="1">
      <c r="B35" s="103"/>
      <c r="C35" s="186"/>
      <c r="D35" s="184"/>
      <c r="E35" s="185"/>
      <c r="F35" s="184"/>
      <c r="G35" s="195"/>
      <c r="H35" s="323" t="s">
        <v>49</v>
      </c>
      <c r="I35" s="316"/>
      <c r="J35" s="324" t="s">
        <v>77</v>
      </c>
      <c r="K35" s="325"/>
      <c r="L35" s="103"/>
      <c r="M35" s="110"/>
      <c r="N35" s="109"/>
      <c r="O35" s="103"/>
      <c r="P35" s="99"/>
      <c r="Q35" s="159" t="s">
        <v>25</v>
      </c>
      <c r="R35" s="254" t="s">
        <v>40</v>
      </c>
      <c r="S35" s="255"/>
      <c r="T35" s="99"/>
      <c r="Y35" s="159" t="s">
        <v>25</v>
      </c>
      <c r="Z35" s="254" t="s">
        <v>26</v>
      </c>
      <c r="AA35" s="255"/>
      <c r="AC35" s="199"/>
      <c r="AD35" s="200" t="s">
        <v>120</v>
      </c>
      <c r="AE35" s="204">
        <v>2</v>
      </c>
    </row>
    <row r="36" spans="1:31" ht="17.100000000000001" customHeight="1" thickBot="1">
      <c r="B36" s="103"/>
      <c r="C36" s="189"/>
      <c r="D36" s="187"/>
      <c r="E36" s="188"/>
      <c r="F36" s="187"/>
      <c r="G36" s="195"/>
      <c r="H36" s="313" t="s">
        <v>87</v>
      </c>
      <c r="I36" s="312"/>
      <c r="J36" s="311" t="s">
        <v>87</v>
      </c>
      <c r="K36" s="312"/>
      <c r="L36" s="103"/>
      <c r="M36" s="110"/>
      <c r="N36" s="109"/>
      <c r="O36" s="103"/>
      <c r="P36" s="99"/>
      <c r="Q36" s="165" t="s">
        <v>27</v>
      </c>
      <c r="R36" s="268" t="s">
        <v>51</v>
      </c>
      <c r="S36" s="269"/>
      <c r="T36" s="99"/>
      <c r="U36" s="173" t="s">
        <v>24</v>
      </c>
      <c r="V36" s="338" t="s">
        <v>61</v>
      </c>
      <c r="W36" s="339"/>
      <c r="Y36" s="160" t="s">
        <v>27</v>
      </c>
      <c r="Z36" s="256" t="s">
        <v>78</v>
      </c>
      <c r="AA36" s="257"/>
      <c r="AC36" s="199"/>
      <c r="AD36" s="200" t="s">
        <v>121</v>
      </c>
      <c r="AE36" s="204">
        <v>2</v>
      </c>
    </row>
    <row r="37" spans="1:31" ht="17.100000000000001" customHeight="1">
      <c r="B37" s="103"/>
      <c r="C37" s="189"/>
      <c r="D37" s="187"/>
      <c r="E37" s="188"/>
      <c r="F37" s="187"/>
      <c r="G37" s="195"/>
      <c r="H37" s="196"/>
      <c r="I37" s="195"/>
      <c r="J37" s="378" t="s">
        <v>38</v>
      </c>
      <c r="K37" s="352"/>
      <c r="L37" s="109"/>
      <c r="M37" s="110"/>
      <c r="N37" s="109"/>
      <c r="O37" s="103"/>
      <c r="P37" s="99"/>
      <c r="Q37" s="165" t="s">
        <v>29</v>
      </c>
      <c r="R37" s="268" t="s">
        <v>42</v>
      </c>
      <c r="S37" s="269"/>
      <c r="T37" s="99"/>
      <c r="U37" s="159" t="s">
        <v>25</v>
      </c>
      <c r="V37" s="254" t="s">
        <v>26</v>
      </c>
      <c r="W37" s="255"/>
      <c r="Y37" s="160" t="s">
        <v>29</v>
      </c>
      <c r="Z37" s="256" t="s">
        <v>30</v>
      </c>
      <c r="AA37" s="257"/>
      <c r="AC37" s="199"/>
      <c r="AD37" s="131" t="s">
        <v>122</v>
      </c>
      <c r="AE37" s="204">
        <v>2</v>
      </c>
    </row>
    <row r="38" spans="1:31" ht="17.100000000000001" customHeight="1">
      <c r="B38" s="103"/>
      <c r="C38" s="189"/>
      <c r="D38" s="187"/>
      <c r="E38" s="188"/>
      <c r="F38" s="187"/>
      <c r="G38" s="188"/>
      <c r="H38" s="187"/>
      <c r="I38" s="188"/>
      <c r="J38" s="323" t="s">
        <v>49</v>
      </c>
      <c r="K38" s="316"/>
      <c r="L38" s="109"/>
      <c r="M38" s="110"/>
      <c r="N38" s="109"/>
      <c r="O38" s="103"/>
      <c r="P38" s="99"/>
      <c r="Q38" s="166" t="s">
        <v>43</v>
      </c>
      <c r="R38" s="258" t="s">
        <v>53</v>
      </c>
      <c r="S38" s="259"/>
      <c r="T38" s="99"/>
      <c r="U38" s="160" t="s">
        <v>27</v>
      </c>
      <c r="V38" s="256" t="s">
        <v>59</v>
      </c>
      <c r="W38" s="257"/>
      <c r="Y38" s="161" t="s">
        <v>31</v>
      </c>
      <c r="Z38" s="258" t="s">
        <v>55</v>
      </c>
      <c r="AA38" s="259"/>
      <c r="AC38" s="199"/>
      <c r="AD38" s="130" t="s">
        <v>123</v>
      </c>
      <c r="AE38" s="204">
        <v>6</v>
      </c>
    </row>
    <row r="39" spans="1:31" ht="17.100000000000001" customHeight="1" thickBot="1">
      <c r="B39" s="103"/>
      <c r="C39" s="189"/>
      <c r="D39" s="187"/>
      <c r="E39" s="188"/>
      <c r="F39" s="187"/>
      <c r="G39" s="188"/>
      <c r="H39" s="187"/>
      <c r="I39" s="188"/>
      <c r="J39" s="187"/>
      <c r="K39" s="188"/>
      <c r="L39" s="109"/>
      <c r="M39" s="110"/>
      <c r="N39" s="109"/>
      <c r="O39" s="103"/>
      <c r="P39" s="99"/>
      <c r="Q39" s="166"/>
      <c r="R39" s="258" t="s">
        <v>69</v>
      </c>
      <c r="S39" s="259"/>
      <c r="T39" s="99"/>
      <c r="U39" s="160" t="s">
        <v>29</v>
      </c>
      <c r="V39" s="256" t="s">
        <v>30</v>
      </c>
      <c r="W39" s="257"/>
      <c r="Y39" s="162" t="s">
        <v>32</v>
      </c>
      <c r="Z39" s="260" t="s">
        <v>33</v>
      </c>
      <c r="AA39" s="261"/>
      <c r="AC39" s="199"/>
      <c r="AD39" s="130" t="s">
        <v>124</v>
      </c>
      <c r="AE39" s="205">
        <v>1</v>
      </c>
    </row>
    <row r="40" spans="1:31" ht="17.100000000000001" customHeight="1" thickBot="1">
      <c r="B40" s="296">
        <f>N24+1</f>
        <v>25</v>
      </c>
      <c r="C40" s="297"/>
      <c r="D40" s="274">
        <f>B40+1</f>
        <v>26</v>
      </c>
      <c r="E40" s="275"/>
      <c r="F40" s="336">
        <f>D40+1</f>
        <v>27</v>
      </c>
      <c r="G40" s="337"/>
      <c r="H40" s="336">
        <f>F40+1</f>
        <v>28</v>
      </c>
      <c r="I40" s="337"/>
      <c r="J40" s="336">
        <f>H40+1</f>
        <v>29</v>
      </c>
      <c r="K40" s="337"/>
      <c r="L40" s="274">
        <f>J40+1</f>
        <v>30</v>
      </c>
      <c r="M40" s="275"/>
      <c r="N40" s="274">
        <f>L40+1</f>
        <v>31</v>
      </c>
      <c r="O40" s="275"/>
      <c r="P40" s="99"/>
      <c r="Q40" s="166"/>
      <c r="R40" s="258" t="s">
        <v>94</v>
      </c>
      <c r="S40" s="259"/>
      <c r="T40" s="99"/>
      <c r="U40" s="161" t="s">
        <v>31</v>
      </c>
      <c r="V40" s="258" t="s">
        <v>55</v>
      </c>
      <c r="W40" s="259"/>
      <c r="AC40" s="199"/>
      <c r="AD40" s="130" t="s">
        <v>125</v>
      </c>
      <c r="AE40" s="205">
        <v>1</v>
      </c>
    </row>
    <row r="41" spans="1:31" ht="17.100000000000001" customHeight="1" thickBot="1">
      <c r="A41" s="21"/>
      <c r="B41" s="313" t="s">
        <v>87</v>
      </c>
      <c r="C41" s="312"/>
      <c r="D41" s="311" t="s">
        <v>87</v>
      </c>
      <c r="E41" s="312"/>
      <c r="F41" s="323" t="s">
        <v>49</v>
      </c>
      <c r="G41" s="316"/>
      <c r="H41" s="323" t="s">
        <v>49</v>
      </c>
      <c r="I41" s="316"/>
      <c r="J41" s="315" t="s">
        <v>49</v>
      </c>
      <c r="K41" s="316"/>
      <c r="L41" s="388" t="s">
        <v>97</v>
      </c>
      <c r="M41" s="388"/>
      <c r="N41" s="109"/>
      <c r="O41" s="103"/>
      <c r="P41" s="99"/>
      <c r="Q41" s="165" t="s">
        <v>32</v>
      </c>
      <c r="R41" s="321" t="s">
        <v>44</v>
      </c>
      <c r="S41" s="322"/>
      <c r="T41" s="99"/>
      <c r="U41" s="162" t="s">
        <v>32</v>
      </c>
      <c r="V41" s="260" t="s">
        <v>33</v>
      </c>
      <c r="W41" s="261"/>
      <c r="Y41" s="192" t="s">
        <v>82</v>
      </c>
      <c r="Z41" s="382" t="s">
        <v>91</v>
      </c>
      <c r="AA41" s="383"/>
      <c r="AC41" s="340" t="s">
        <v>126</v>
      </c>
      <c r="AD41" s="341"/>
      <c r="AE41" s="342"/>
    </row>
    <row r="42" spans="1:31" ht="18" thickBot="1">
      <c r="A42" s="21"/>
      <c r="B42" s="314" t="s">
        <v>50</v>
      </c>
      <c r="C42" s="310"/>
      <c r="D42" s="315" t="s">
        <v>49</v>
      </c>
      <c r="E42" s="316"/>
      <c r="F42" s="326" t="s">
        <v>62</v>
      </c>
      <c r="G42" s="327"/>
      <c r="H42" s="349" t="s">
        <v>37</v>
      </c>
      <c r="I42" s="350"/>
      <c r="J42" s="353" t="s">
        <v>62</v>
      </c>
      <c r="K42" s="327"/>
      <c r="L42" s="353" t="s">
        <v>62</v>
      </c>
      <c r="M42" s="327"/>
      <c r="N42" s="109"/>
      <c r="O42" s="103"/>
      <c r="Q42" s="163" t="s">
        <v>45</v>
      </c>
      <c r="R42" s="264">
        <v>46049</v>
      </c>
      <c r="S42" s="265"/>
      <c r="Y42" s="159" t="s">
        <v>25</v>
      </c>
      <c r="Z42" s="254" t="s">
        <v>83</v>
      </c>
      <c r="AA42" s="255"/>
      <c r="AB42" s="21"/>
      <c r="AC42" s="133" t="s">
        <v>10</v>
      </c>
      <c r="AD42" s="334">
        <f>(SUM(AE22:AE41)-1)*88000+110000</f>
        <v>4950000</v>
      </c>
      <c r="AE42" s="335"/>
    </row>
    <row r="43" spans="1:31" ht="18" thickBot="1">
      <c r="A43" s="21"/>
      <c r="B43" s="103"/>
      <c r="C43" s="103"/>
      <c r="D43" s="309" t="s">
        <v>50</v>
      </c>
      <c r="E43" s="310"/>
      <c r="F43" s="103"/>
      <c r="G43" s="110"/>
      <c r="H43" s="103"/>
      <c r="I43" s="110"/>
      <c r="J43" s="351" t="s">
        <v>38</v>
      </c>
      <c r="K43" s="352"/>
      <c r="L43" s="262" t="s">
        <v>104</v>
      </c>
      <c r="M43" s="263"/>
      <c r="N43" s="109"/>
      <c r="O43" s="103"/>
      <c r="Q43" s="102"/>
      <c r="R43" s="115"/>
      <c r="S43" s="115"/>
      <c r="U43" s="177" t="s">
        <v>24</v>
      </c>
      <c r="V43" s="384" t="s">
        <v>61</v>
      </c>
      <c r="W43" s="385"/>
      <c r="Y43" s="165" t="s">
        <v>27</v>
      </c>
      <c r="Z43" s="268" t="s">
        <v>84</v>
      </c>
      <c r="AA43" s="269"/>
    </row>
    <row r="44" spans="1:31" ht="18" thickBot="1">
      <c r="B44" s="103"/>
      <c r="C44" s="103"/>
      <c r="D44" s="109"/>
      <c r="E44" s="110"/>
      <c r="F44" s="109"/>
      <c r="G44" s="110"/>
      <c r="H44" s="109"/>
      <c r="I44" s="110"/>
      <c r="J44" s="109"/>
      <c r="K44" s="110"/>
      <c r="L44" s="109"/>
      <c r="M44" s="110"/>
      <c r="N44" s="109"/>
      <c r="O44" s="103"/>
      <c r="Q44" s="169" t="s">
        <v>39</v>
      </c>
      <c r="R44" s="379" t="s">
        <v>48</v>
      </c>
      <c r="S44" s="380"/>
      <c r="U44" s="159" t="s">
        <v>25</v>
      </c>
      <c r="V44" s="254" t="s">
        <v>26</v>
      </c>
      <c r="W44" s="255"/>
      <c r="Y44" s="165" t="s">
        <v>29</v>
      </c>
      <c r="Z44" s="268" t="s">
        <v>85</v>
      </c>
      <c r="AA44" s="269"/>
    </row>
    <row r="45" spans="1:31" ht="17.25">
      <c r="B45" s="111"/>
      <c r="C45" s="111"/>
      <c r="D45" s="112"/>
      <c r="E45" s="113"/>
      <c r="F45" s="112"/>
      <c r="G45" s="113"/>
      <c r="H45" s="112"/>
      <c r="I45" s="113"/>
      <c r="J45" s="112"/>
      <c r="K45" s="113"/>
      <c r="L45" s="112"/>
      <c r="M45" s="113"/>
      <c r="N45" s="112"/>
      <c r="O45" s="111"/>
      <c r="Q45" s="159" t="s">
        <v>25</v>
      </c>
      <c r="R45" s="254" t="s">
        <v>26</v>
      </c>
      <c r="S45" s="255"/>
      <c r="U45" s="160" t="s">
        <v>27</v>
      </c>
      <c r="V45" s="256" t="s">
        <v>60</v>
      </c>
      <c r="W45" s="257"/>
      <c r="Y45" s="166" t="s">
        <v>43</v>
      </c>
      <c r="Z45" s="258" t="s">
        <v>90</v>
      </c>
      <c r="AA45" s="259"/>
    </row>
    <row r="46" spans="1:31" ht="18" thickBot="1">
      <c r="B46" s="301"/>
      <c r="C46" s="302"/>
      <c r="D46" s="278"/>
      <c r="E46" s="277"/>
      <c r="F46" s="278"/>
      <c r="G46" s="277"/>
      <c r="H46" s="303"/>
      <c r="I46" s="304"/>
      <c r="J46" s="303"/>
      <c r="K46" s="304"/>
      <c r="L46" s="303"/>
      <c r="M46" s="304"/>
      <c r="N46" s="303"/>
      <c r="O46" s="377"/>
      <c r="Q46" s="165" t="s">
        <v>27</v>
      </c>
      <c r="R46" s="268" t="s">
        <v>93</v>
      </c>
      <c r="S46" s="269"/>
      <c r="U46" s="160" t="s">
        <v>29</v>
      </c>
      <c r="V46" s="256" t="s">
        <v>30</v>
      </c>
      <c r="W46" s="257"/>
      <c r="Y46" s="165" t="s">
        <v>32</v>
      </c>
      <c r="Z46" s="321" t="s">
        <v>86</v>
      </c>
      <c r="AA46" s="322"/>
    </row>
    <row r="47" spans="1:31" ht="18" thickBot="1">
      <c r="B47" s="103"/>
      <c r="C47" s="103"/>
      <c r="D47" s="109"/>
      <c r="E47" s="110"/>
      <c r="F47" s="109"/>
      <c r="G47" s="110"/>
      <c r="H47" s="109"/>
      <c r="I47" s="110"/>
      <c r="J47" s="109"/>
      <c r="K47" s="110"/>
      <c r="L47" s="109"/>
      <c r="M47" s="110"/>
      <c r="N47" s="109"/>
      <c r="O47" s="103"/>
      <c r="Q47" s="165" t="s">
        <v>29</v>
      </c>
      <c r="R47" s="268" t="s">
        <v>30</v>
      </c>
      <c r="S47" s="269"/>
      <c r="U47" s="161" t="s">
        <v>31</v>
      </c>
      <c r="V47" s="258" t="s">
        <v>55</v>
      </c>
      <c r="W47" s="259"/>
      <c r="Y47" s="163" t="s">
        <v>45</v>
      </c>
      <c r="Z47" s="381">
        <v>45986</v>
      </c>
      <c r="AA47" s="265"/>
    </row>
    <row r="48" spans="1:31" ht="18" thickBot="1">
      <c r="B48" s="103"/>
      <c r="C48" s="103"/>
      <c r="D48" s="109"/>
      <c r="E48" s="110"/>
      <c r="F48" s="109"/>
      <c r="G48" s="110"/>
      <c r="H48" s="109"/>
      <c r="I48" s="110"/>
      <c r="J48" s="109"/>
      <c r="K48" s="110"/>
      <c r="L48" s="109"/>
      <c r="M48" s="110"/>
      <c r="N48" s="109"/>
      <c r="O48" s="103"/>
      <c r="Q48" s="166" t="s">
        <v>43</v>
      </c>
      <c r="R48" s="258" t="s">
        <v>53</v>
      </c>
      <c r="S48" s="259"/>
      <c r="U48" s="162" t="s">
        <v>32</v>
      </c>
      <c r="V48" s="260" t="s">
        <v>33</v>
      </c>
      <c r="W48" s="261"/>
    </row>
    <row r="49" spans="2:19" ht="18" thickBot="1">
      <c r="B49" s="135"/>
      <c r="C49" s="135"/>
      <c r="D49" s="136"/>
      <c r="E49" s="137"/>
      <c r="F49" s="136"/>
      <c r="G49" s="137"/>
      <c r="H49" s="136"/>
      <c r="I49" s="137"/>
      <c r="J49" s="136"/>
      <c r="K49" s="137"/>
      <c r="L49" s="136"/>
      <c r="M49" s="137"/>
      <c r="N49" s="136"/>
      <c r="O49" s="135"/>
      <c r="Q49" s="165" t="s">
        <v>32</v>
      </c>
      <c r="R49" s="321" t="s">
        <v>33</v>
      </c>
      <c r="S49" s="322"/>
    </row>
    <row r="50" spans="2:19" ht="18" thickBot="1">
      <c r="B50" s="135"/>
      <c r="C50" s="135"/>
      <c r="D50" s="136"/>
      <c r="E50" s="137"/>
      <c r="F50" s="136"/>
      <c r="G50" s="137"/>
      <c r="H50" s="136"/>
      <c r="I50" s="137"/>
      <c r="J50" s="136"/>
      <c r="K50" s="137"/>
      <c r="L50" s="136"/>
      <c r="M50" s="137"/>
      <c r="N50" s="136"/>
      <c r="O50" s="135"/>
      <c r="Q50" s="163" t="s">
        <v>45</v>
      </c>
      <c r="R50" s="264">
        <v>46049</v>
      </c>
      <c r="S50" s="265"/>
    </row>
    <row r="51" spans="2:19" ht="17.25">
      <c r="B51" s="111"/>
      <c r="C51" s="111"/>
      <c r="D51" s="112"/>
      <c r="E51" s="113"/>
      <c r="F51" s="112"/>
      <c r="G51" s="113"/>
      <c r="H51" s="112"/>
      <c r="I51" s="113"/>
      <c r="J51" s="112"/>
      <c r="K51" s="113"/>
      <c r="L51" s="112"/>
      <c r="M51" s="113"/>
      <c r="N51" s="112"/>
      <c r="O51" s="111"/>
    </row>
    <row r="52" spans="2:19" ht="17.25" thickBot="1"/>
    <row r="53" spans="2:19" ht="17.25">
      <c r="B53" s="397" t="s">
        <v>127</v>
      </c>
      <c r="C53" s="398"/>
      <c r="D53" s="397" t="s">
        <v>128</v>
      </c>
      <c r="E53" s="399"/>
      <c r="F53" s="399" t="s">
        <v>129</v>
      </c>
      <c r="G53" s="399"/>
      <c r="H53" s="399" t="s">
        <v>130</v>
      </c>
      <c r="I53" s="399"/>
      <c r="J53" s="399" t="s">
        <v>131</v>
      </c>
      <c r="K53" s="399"/>
      <c r="L53" s="399" t="s">
        <v>132</v>
      </c>
      <c r="M53" s="399"/>
      <c r="N53" s="399" t="s">
        <v>133</v>
      </c>
      <c r="O53" s="398"/>
    </row>
    <row r="54" spans="2:19" ht="18" thickBot="1">
      <c r="B54" s="400" t="s">
        <v>134</v>
      </c>
      <c r="C54" s="401"/>
      <c r="D54" s="402" t="s">
        <v>142</v>
      </c>
      <c r="E54" s="403"/>
      <c r="F54" s="404"/>
      <c r="G54" s="404"/>
      <c r="H54" s="404"/>
      <c r="I54" s="404"/>
      <c r="J54" s="404"/>
      <c r="K54" s="404"/>
      <c r="L54" s="404"/>
      <c r="M54" s="404"/>
      <c r="N54" s="404"/>
      <c r="O54" s="405"/>
    </row>
    <row r="55" spans="2:19" ht="18" thickBot="1">
      <c r="B55" s="406" t="s">
        <v>135</v>
      </c>
      <c r="C55" s="407"/>
      <c r="D55" s="408">
        <v>4950000</v>
      </c>
      <c r="E55" s="409"/>
      <c r="F55" s="410"/>
      <c r="G55" s="409"/>
      <c r="H55" s="410"/>
      <c r="I55" s="409"/>
      <c r="J55" s="410"/>
      <c r="K55" s="409"/>
      <c r="L55" s="410"/>
      <c r="M55" s="409"/>
      <c r="N55" s="410"/>
      <c r="O55" s="407"/>
    </row>
    <row r="56" spans="2:19" ht="18" thickBot="1"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</row>
    <row r="57" spans="2:19" ht="17.25">
      <c r="B57" s="397" t="s">
        <v>127</v>
      </c>
      <c r="C57" s="398"/>
      <c r="D57" s="397" t="s">
        <v>136</v>
      </c>
      <c r="E57" s="399"/>
      <c r="F57" s="399" t="s">
        <v>137</v>
      </c>
      <c r="G57" s="399"/>
      <c r="H57" s="399" t="s">
        <v>138</v>
      </c>
      <c r="I57" s="399"/>
      <c r="J57" s="399" t="s">
        <v>139</v>
      </c>
      <c r="K57" s="399"/>
      <c r="L57" s="399" t="s">
        <v>140</v>
      </c>
      <c r="M57" s="399"/>
      <c r="N57" s="399" t="s">
        <v>141</v>
      </c>
      <c r="O57" s="398"/>
    </row>
    <row r="58" spans="2:19" ht="18" thickBot="1">
      <c r="B58" s="400" t="s">
        <v>134</v>
      </c>
      <c r="C58" s="401"/>
      <c r="D58" s="402"/>
      <c r="E58" s="403"/>
      <c r="F58" s="404"/>
      <c r="G58" s="404"/>
      <c r="H58" s="404"/>
      <c r="I58" s="404"/>
      <c r="J58" s="404"/>
      <c r="K58" s="404"/>
      <c r="L58" s="404"/>
      <c r="M58" s="404"/>
      <c r="N58" s="404"/>
      <c r="O58" s="405"/>
    </row>
    <row r="59" spans="2:19" ht="18" thickBot="1">
      <c r="B59" s="406" t="s">
        <v>135</v>
      </c>
      <c r="C59" s="407"/>
      <c r="D59" s="408"/>
      <c r="E59" s="409"/>
      <c r="F59" s="410"/>
      <c r="G59" s="409"/>
      <c r="H59" s="410"/>
      <c r="I59" s="409"/>
      <c r="J59" s="410"/>
      <c r="K59" s="409"/>
      <c r="L59" s="410"/>
      <c r="M59" s="409"/>
      <c r="N59" s="410"/>
      <c r="O59" s="407"/>
    </row>
  </sheetData>
  <mergeCells count="285">
    <mergeCell ref="B58:C58"/>
    <mergeCell ref="D58:E58"/>
    <mergeCell ref="F58:G58"/>
    <mergeCell ref="H58:I58"/>
    <mergeCell ref="J58:K58"/>
    <mergeCell ref="L58:M58"/>
    <mergeCell ref="N58:O58"/>
    <mergeCell ref="B59:C59"/>
    <mergeCell ref="D59:E59"/>
    <mergeCell ref="F59:G59"/>
    <mergeCell ref="H59:I59"/>
    <mergeCell ref="J59:K59"/>
    <mergeCell ref="L59:M59"/>
    <mergeCell ref="N59:O59"/>
    <mergeCell ref="B55:C55"/>
    <mergeCell ref="D55:E55"/>
    <mergeCell ref="F55:G55"/>
    <mergeCell ref="H55:I55"/>
    <mergeCell ref="J55:K55"/>
    <mergeCell ref="L55:M55"/>
    <mergeCell ref="N55:O55"/>
    <mergeCell ref="B57:C57"/>
    <mergeCell ref="D57:E57"/>
    <mergeCell ref="F57:G57"/>
    <mergeCell ref="H57:I57"/>
    <mergeCell ref="J57:K57"/>
    <mergeCell ref="L57:M57"/>
    <mergeCell ref="N57:O57"/>
    <mergeCell ref="B53:C53"/>
    <mergeCell ref="D53:E53"/>
    <mergeCell ref="F53:G53"/>
    <mergeCell ref="H53:I53"/>
    <mergeCell ref="J53:K53"/>
    <mergeCell ref="L53:M53"/>
    <mergeCell ref="N53:O53"/>
    <mergeCell ref="B54:C54"/>
    <mergeCell ref="D54:E54"/>
    <mergeCell ref="F54:G54"/>
    <mergeCell ref="H54:I54"/>
    <mergeCell ref="J54:K54"/>
    <mergeCell ref="L54:M54"/>
    <mergeCell ref="N54:O54"/>
    <mergeCell ref="AD6:AE6"/>
    <mergeCell ref="AD7:AE7"/>
    <mergeCell ref="AD8:AE8"/>
    <mergeCell ref="AD9:AE9"/>
    <mergeCell ref="AD10:AE10"/>
    <mergeCell ref="AD11:AE11"/>
    <mergeCell ref="V11:W11"/>
    <mergeCell ref="L41:M41"/>
    <mergeCell ref="F41:G41"/>
    <mergeCell ref="H41:I41"/>
    <mergeCell ref="J41:K41"/>
    <mergeCell ref="R30:S30"/>
    <mergeCell ref="R40:S40"/>
    <mergeCell ref="H32:I32"/>
    <mergeCell ref="H34:I34"/>
    <mergeCell ref="H29:I29"/>
    <mergeCell ref="R29:S29"/>
    <mergeCell ref="J32:K32"/>
    <mergeCell ref="J34:K34"/>
    <mergeCell ref="Z6:AA6"/>
    <mergeCell ref="Z7:AA7"/>
    <mergeCell ref="Z8:AA8"/>
    <mergeCell ref="Z9:AA9"/>
    <mergeCell ref="Z10:AA10"/>
    <mergeCell ref="Z47:AA47"/>
    <mergeCell ref="H36:I36"/>
    <mergeCell ref="Z41:AA41"/>
    <mergeCell ref="Z42:AA42"/>
    <mergeCell ref="Z43:AA43"/>
    <mergeCell ref="Z44:AA44"/>
    <mergeCell ref="Z45:AA45"/>
    <mergeCell ref="Z46:AA46"/>
    <mergeCell ref="V48:W48"/>
    <mergeCell ref="V41:W41"/>
    <mergeCell ref="V43:W43"/>
    <mergeCell ref="V44:W44"/>
    <mergeCell ref="V45:W45"/>
    <mergeCell ref="V46:W46"/>
    <mergeCell ref="V47:W47"/>
    <mergeCell ref="J42:K42"/>
    <mergeCell ref="V38:W38"/>
    <mergeCell ref="L42:M42"/>
    <mergeCell ref="J38:K38"/>
    <mergeCell ref="V39:W39"/>
    <mergeCell ref="R50:S50"/>
    <mergeCell ref="R47:S47"/>
    <mergeCell ref="R48:S48"/>
    <mergeCell ref="N46:O46"/>
    <mergeCell ref="L46:M46"/>
    <mergeCell ref="L40:M40"/>
    <mergeCell ref="J37:K37"/>
    <mergeCell ref="R49:S49"/>
    <mergeCell ref="H42:I42"/>
    <mergeCell ref="J43:K43"/>
    <mergeCell ref="R46:S46"/>
    <mergeCell ref="R44:S44"/>
    <mergeCell ref="R45:S45"/>
    <mergeCell ref="Z11:AA11"/>
    <mergeCell ref="H27:I27"/>
    <mergeCell ref="H28:I28"/>
    <mergeCell ref="V26:W26"/>
    <mergeCell ref="V7:W7"/>
    <mergeCell ref="V8:W8"/>
    <mergeCell ref="V9:W9"/>
    <mergeCell ref="V10:W10"/>
    <mergeCell ref="V13:W13"/>
    <mergeCell ref="V15:W15"/>
    <mergeCell ref="V16:W16"/>
    <mergeCell ref="V17:W17"/>
    <mergeCell ref="V18:W18"/>
    <mergeCell ref="R20:S20"/>
    <mergeCell ref="Z13:AA13"/>
    <mergeCell ref="Z14:AA14"/>
    <mergeCell ref="Z15:AA15"/>
    <mergeCell ref="Z16:AA16"/>
    <mergeCell ref="Z17:AA17"/>
    <mergeCell ref="Z18:AA18"/>
    <mergeCell ref="Z20:AA20"/>
    <mergeCell ref="Z27:AA27"/>
    <mergeCell ref="Z28:AA28"/>
    <mergeCell ref="V12:W12"/>
    <mergeCell ref="V27:W27"/>
    <mergeCell ref="L24:M24"/>
    <mergeCell ref="N24:O24"/>
    <mergeCell ref="V25:W25"/>
    <mergeCell ref="V23:W23"/>
    <mergeCell ref="V24:W24"/>
    <mergeCell ref="V6:W6"/>
    <mergeCell ref="R9:S9"/>
    <mergeCell ref="R10:S10"/>
    <mergeCell ref="R12:S12"/>
    <mergeCell ref="R13:S13"/>
    <mergeCell ref="L25:M25"/>
    <mergeCell ref="N25:O25"/>
    <mergeCell ref="J25:K25"/>
    <mergeCell ref="J26:K26"/>
    <mergeCell ref="J27:K27"/>
    <mergeCell ref="J28:K28"/>
    <mergeCell ref="J29:K29"/>
    <mergeCell ref="J30:K30"/>
    <mergeCell ref="J31:K31"/>
    <mergeCell ref="R6:S6"/>
    <mergeCell ref="R7:S7"/>
    <mergeCell ref="R8:S8"/>
    <mergeCell ref="N18:O18"/>
    <mergeCell ref="L18:M18"/>
    <mergeCell ref="D21:E21"/>
    <mergeCell ref="F20:G20"/>
    <mergeCell ref="H20:I20"/>
    <mergeCell ref="V19:W19"/>
    <mergeCell ref="V20:W20"/>
    <mergeCell ref="V22:W22"/>
    <mergeCell ref="F12:G12"/>
    <mergeCell ref="J12:K12"/>
    <mergeCell ref="L12:M12"/>
    <mergeCell ref="R22:S22"/>
    <mergeCell ref="F19:G19"/>
    <mergeCell ref="H19:I19"/>
    <mergeCell ref="R15:S15"/>
    <mergeCell ref="D19:E19"/>
    <mergeCell ref="J13:K13"/>
    <mergeCell ref="J14:K14"/>
    <mergeCell ref="R19:S19"/>
    <mergeCell ref="R16:S16"/>
    <mergeCell ref="R17:S17"/>
    <mergeCell ref="R18:S18"/>
    <mergeCell ref="H31:I31"/>
    <mergeCell ref="AD42:AE42"/>
    <mergeCell ref="B40:C40"/>
    <mergeCell ref="D40:E40"/>
    <mergeCell ref="F40:G40"/>
    <mergeCell ref="H40:I40"/>
    <mergeCell ref="J40:K40"/>
    <mergeCell ref="N40:O40"/>
    <mergeCell ref="R36:S36"/>
    <mergeCell ref="R37:S37"/>
    <mergeCell ref="R38:S38"/>
    <mergeCell ref="R39:S39"/>
    <mergeCell ref="R41:S41"/>
    <mergeCell ref="R42:S42"/>
    <mergeCell ref="F42:G42"/>
    <mergeCell ref="Z38:AA38"/>
    <mergeCell ref="Z39:AA39"/>
    <mergeCell ref="V40:W40"/>
    <mergeCell ref="V36:W36"/>
    <mergeCell ref="AC41:AE41"/>
    <mergeCell ref="Z37:AA37"/>
    <mergeCell ref="B24:C24"/>
    <mergeCell ref="D24:E24"/>
    <mergeCell ref="F24:G24"/>
    <mergeCell ref="H24:I24"/>
    <mergeCell ref="J24:K24"/>
    <mergeCell ref="Z31:AA31"/>
    <mergeCell ref="R35:S35"/>
    <mergeCell ref="R34:S34"/>
    <mergeCell ref="V37:W37"/>
    <mergeCell ref="V29:W29"/>
    <mergeCell ref="V30:W30"/>
    <mergeCell ref="V31:W31"/>
    <mergeCell ref="V32:W32"/>
    <mergeCell ref="V33:W33"/>
    <mergeCell ref="V34:W34"/>
    <mergeCell ref="R31:S31"/>
    <mergeCell ref="R32:S32"/>
    <mergeCell ref="D25:E25"/>
    <mergeCell ref="Z29:AA29"/>
    <mergeCell ref="H35:I35"/>
    <mergeCell ref="J35:K35"/>
    <mergeCell ref="H25:I25"/>
    <mergeCell ref="H26:I26"/>
    <mergeCell ref="H30:I30"/>
    <mergeCell ref="B18:C18"/>
    <mergeCell ref="D18:E18"/>
    <mergeCell ref="F18:G18"/>
    <mergeCell ref="H18:I18"/>
    <mergeCell ref="J18:K18"/>
    <mergeCell ref="D12:E12"/>
    <mergeCell ref="J6:K6"/>
    <mergeCell ref="B46:C46"/>
    <mergeCell ref="D46:E46"/>
    <mergeCell ref="F46:G46"/>
    <mergeCell ref="H46:I46"/>
    <mergeCell ref="J46:K46"/>
    <mergeCell ref="J33:K33"/>
    <mergeCell ref="H33:I33"/>
    <mergeCell ref="D26:E26"/>
    <mergeCell ref="F26:G26"/>
    <mergeCell ref="J36:K36"/>
    <mergeCell ref="B41:C41"/>
    <mergeCell ref="D41:E41"/>
    <mergeCell ref="B42:C42"/>
    <mergeCell ref="F25:G25"/>
    <mergeCell ref="D42:E42"/>
    <mergeCell ref="D43:E43"/>
    <mergeCell ref="D20:E20"/>
    <mergeCell ref="B2:O3"/>
    <mergeCell ref="H12:I12"/>
    <mergeCell ref="B6:C6"/>
    <mergeCell ref="D6:E6"/>
    <mergeCell ref="F6:G6"/>
    <mergeCell ref="H6:I6"/>
    <mergeCell ref="Q2:S2"/>
    <mergeCell ref="Q3:S4"/>
    <mergeCell ref="B4:O4"/>
    <mergeCell ref="B5:C5"/>
    <mergeCell ref="D5:E5"/>
    <mergeCell ref="F5:G5"/>
    <mergeCell ref="H5:I5"/>
    <mergeCell ref="J5:K5"/>
    <mergeCell ref="L5:M5"/>
    <mergeCell ref="N5:O5"/>
    <mergeCell ref="F8:G8"/>
    <mergeCell ref="B12:C12"/>
    <mergeCell ref="L6:M6"/>
    <mergeCell ref="N6:O6"/>
    <mergeCell ref="N12:O12"/>
    <mergeCell ref="R11:S11"/>
    <mergeCell ref="F7:G7"/>
    <mergeCell ref="F9:G9"/>
    <mergeCell ref="AD13:AE13"/>
    <mergeCell ref="AD14:AE14"/>
    <mergeCell ref="AD15:AE15"/>
    <mergeCell ref="AD16:AE16"/>
    <mergeCell ref="AD17:AE17"/>
    <mergeCell ref="AD18:AE18"/>
    <mergeCell ref="L43:M43"/>
    <mergeCell ref="AD19:AE19"/>
    <mergeCell ref="Z30:AA30"/>
    <mergeCell ref="Z21:AA21"/>
    <mergeCell ref="Z22:AA22"/>
    <mergeCell ref="Z23:AA23"/>
    <mergeCell ref="Z24:AA24"/>
    <mergeCell ref="Z25:AA25"/>
    <mergeCell ref="R24:S24"/>
    <mergeCell ref="R25:S25"/>
    <mergeCell ref="R26:S26"/>
    <mergeCell ref="R27:S27"/>
    <mergeCell ref="R28:S28"/>
    <mergeCell ref="R21:S21"/>
    <mergeCell ref="Z32:AA32"/>
    <mergeCell ref="Z34:AA34"/>
    <mergeCell ref="Z35:AA35"/>
    <mergeCell ref="Z36:AA36"/>
  </mergeCells>
  <phoneticPr fontId="1" type="noConversion"/>
  <pageMargins left="0.25" right="0.25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2"/>
  <sheetViews>
    <sheetView view="pageBreakPreview" topLeftCell="A4" zoomScale="70" zoomScaleNormal="85" zoomScaleSheetLayoutView="70" workbookViewId="0">
      <selection activeCell="Q6" sqref="Q6:S12"/>
    </sheetView>
  </sheetViews>
  <sheetFormatPr defaultColWidth="9" defaultRowHeight="16.5"/>
  <cols>
    <col min="1" max="1" width="5.625" style="30" customWidth="1"/>
    <col min="2" max="15" width="9" style="30"/>
    <col min="16" max="16" width="5.625" style="30" customWidth="1"/>
    <col min="17" max="19" width="10.625" style="30" customWidth="1"/>
    <col min="20" max="20" width="5.625" style="30" customWidth="1"/>
    <col min="21" max="23" width="10.625" style="30" customWidth="1"/>
    <col min="24" max="24" width="5.625" style="30" customWidth="1"/>
    <col min="25" max="27" width="10.625" style="30" customWidth="1"/>
    <col min="28" max="28" width="5.625" style="30" customWidth="1"/>
    <col min="29" max="31" width="10.625" style="30" customWidth="1"/>
    <col min="32" max="32" width="5.625" style="30" customWidth="1"/>
    <col min="33" max="16384" width="9" style="30"/>
  </cols>
  <sheetData>
    <row r="1" spans="2:31" ht="17.25" thickBot="1"/>
    <row r="2" spans="2:31" ht="16.5" customHeight="1">
      <c r="B2" s="272" t="s">
        <v>8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99"/>
      <c r="Q2" s="279" t="s">
        <v>0</v>
      </c>
      <c r="R2" s="280"/>
      <c r="S2" s="281"/>
      <c r="T2" s="99"/>
      <c r="U2" s="99"/>
      <c r="V2" s="99"/>
      <c r="W2" s="99"/>
      <c r="X2" s="99"/>
    </row>
    <row r="3" spans="2:31" ht="16.5" customHeight="1" thickBot="1"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99"/>
      <c r="Q3" s="282">
        <f>AD43</f>
        <v>3300000</v>
      </c>
      <c r="R3" s="283"/>
      <c r="S3" s="284"/>
      <c r="T3" s="99"/>
      <c r="U3" s="99"/>
      <c r="V3" s="99"/>
      <c r="W3" s="99"/>
      <c r="X3" s="99"/>
    </row>
    <row r="4" spans="2:31" ht="21.75" customHeight="1" thickBot="1">
      <c r="B4" s="288" t="s">
        <v>14</v>
      </c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99"/>
      <c r="Q4" s="285"/>
      <c r="R4" s="286"/>
      <c r="S4" s="287"/>
      <c r="T4" s="99"/>
      <c r="U4" s="99"/>
      <c r="V4" s="99"/>
      <c r="W4" s="99"/>
      <c r="X4" s="99"/>
    </row>
    <row r="5" spans="2:31" ht="30" customHeight="1" thickBot="1">
      <c r="B5" s="289" t="s">
        <v>4</v>
      </c>
      <c r="C5" s="290"/>
      <c r="D5" s="291" t="s">
        <v>1</v>
      </c>
      <c r="E5" s="291"/>
      <c r="F5" s="291" t="s">
        <v>5</v>
      </c>
      <c r="G5" s="291"/>
      <c r="H5" s="291" t="s">
        <v>6</v>
      </c>
      <c r="I5" s="291"/>
      <c r="J5" s="291" t="s">
        <v>2</v>
      </c>
      <c r="K5" s="291"/>
      <c r="L5" s="291" t="s">
        <v>3</v>
      </c>
      <c r="M5" s="291"/>
      <c r="N5" s="292" t="s">
        <v>7</v>
      </c>
      <c r="O5" s="293"/>
      <c r="P5" s="99"/>
      <c r="Q5" s="100"/>
      <c r="R5" s="100"/>
      <c r="S5" s="100"/>
      <c r="T5" s="99"/>
      <c r="U5" s="99"/>
      <c r="V5" s="99"/>
      <c r="W5" s="99"/>
      <c r="X5" s="99"/>
    </row>
    <row r="6" spans="2:31" ht="17.100000000000001" customHeight="1" thickBot="1">
      <c r="B6" s="296">
        <v>1</v>
      </c>
      <c r="C6" s="297"/>
      <c r="D6" s="274">
        <f>B6+1</f>
        <v>2</v>
      </c>
      <c r="E6" s="275"/>
      <c r="F6" s="274">
        <f t="shared" ref="F6" si="0">D6+1</f>
        <v>3</v>
      </c>
      <c r="G6" s="275"/>
      <c r="H6" s="274">
        <f t="shared" ref="H6" si="1">F6+1</f>
        <v>4</v>
      </c>
      <c r="I6" s="275"/>
      <c r="J6" s="274">
        <f t="shared" ref="J6" si="2">H6+1</f>
        <v>5</v>
      </c>
      <c r="K6" s="275"/>
      <c r="L6" s="274">
        <f t="shared" ref="L6" si="3">J6+1</f>
        <v>6</v>
      </c>
      <c r="M6" s="275"/>
      <c r="N6" s="298">
        <f>L6+1</f>
        <v>7</v>
      </c>
      <c r="O6" s="299"/>
      <c r="P6" s="99"/>
      <c r="Q6" s="168" t="s">
        <v>143</v>
      </c>
      <c r="R6" s="411" t="s">
        <v>146</v>
      </c>
      <c r="S6" s="412"/>
      <c r="T6" s="99"/>
      <c r="U6" s="210" t="s">
        <v>143</v>
      </c>
      <c r="V6" s="371" t="s">
        <v>175</v>
      </c>
      <c r="W6" s="372"/>
      <c r="X6" s="99"/>
      <c r="Y6" s="209" t="s">
        <v>24</v>
      </c>
      <c r="Z6" s="413" t="s">
        <v>160</v>
      </c>
      <c r="AA6" s="414"/>
      <c r="AC6" s="176" t="s">
        <v>24</v>
      </c>
      <c r="AD6" s="369" t="s">
        <v>160</v>
      </c>
      <c r="AE6" s="370"/>
    </row>
    <row r="7" spans="2:31" ht="17.100000000000001" customHeight="1">
      <c r="B7" s="103"/>
      <c r="C7" s="103"/>
      <c r="D7" s="309" t="s">
        <v>149</v>
      </c>
      <c r="E7" s="310"/>
      <c r="F7" s="309" t="s">
        <v>149</v>
      </c>
      <c r="G7" s="310"/>
      <c r="H7" s="415" t="s">
        <v>150</v>
      </c>
      <c r="I7" s="416"/>
      <c r="J7" s="415" t="s">
        <v>150</v>
      </c>
      <c r="K7" s="416"/>
      <c r="L7" s="127"/>
      <c r="M7" s="110"/>
      <c r="N7" s="109"/>
      <c r="O7" s="103"/>
      <c r="P7" s="99"/>
      <c r="Q7" s="159" t="s">
        <v>25</v>
      </c>
      <c r="R7" s="254" t="s">
        <v>26</v>
      </c>
      <c r="S7" s="255"/>
      <c r="T7" s="99"/>
      <c r="U7" s="159" t="s">
        <v>25</v>
      </c>
      <c r="V7" s="254" t="s">
        <v>26</v>
      </c>
      <c r="W7" s="255"/>
      <c r="X7" s="99"/>
      <c r="Y7" s="159" t="s">
        <v>25</v>
      </c>
      <c r="Z7" s="254" t="s">
        <v>26</v>
      </c>
      <c r="AA7" s="255"/>
      <c r="AC7" s="159" t="s">
        <v>25</v>
      </c>
      <c r="AD7" s="254" t="s">
        <v>26</v>
      </c>
      <c r="AE7" s="255"/>
    </row>
    <row r="8" spans="2:31" ht="17.100000000000001" customHeight="1">
      <c r="B8" s="103"/>
      <c r="C8" s="103"/>
      <c r="D8" s="415" t="s">
        <v>150</v>
      </c>
      <c r="E8" s="416"/>
      <c r="F8" s="415" t="s">
        <v>150</v>
      </c>
      <c r="G8" s="416"/>
      <c r="H8" s="351" t="s">
        <v>38</v>
      </c>
      <c r="I8" s="352"/>
      <c r="J8" s="351" t="s">
        <v>38</v>
      </c>
      <c r="K8" s="352"/>
      <c r="L8" s="127"/>
      <c r="M8" s="110"/>
      <c r="N8" s="109"/>
      <c r="O8" s="103"/>
      <c r="P8" s="99"/>
      <c r="Q8" s="165" t="s">
        <v>27</v>
      </c>
      <c r="R8" s="268" t="s">
        <v>144</v>
      </c>
      <c r="S8" s="269"/>
      <c r="T8" s="99"/>
      <c r="U8" s="165" t="s">
        <v>27</v>
      </c>
      <c r="V8" s="268" t="s">
        <v>176</v>
      </c>
      <c r="W8" s="269"/>
      <c r="X8" s="99"/>
      <c r="Y8" s="160" t="s">
        <v>27</v>
      </c>
      <c r="Z8" s="256" t="s">
        <v>168</v>
      </c>
      <c r="AA8" s="257"/>
      <c r="AC8" s="160" t="s">
        <v>27</v>
      </c>
      <c r="AD8" s="256" t="s">
        <v>212</v>
      </c>
      <c r="AE8" s="257"/>
    </row>
    <row r="9" spans="2:31" ht="17.100000000000001" customHeight="1">
      <c r="B9" s="103"/>
      <c r="C9" s="103"/>
      <c r="D9" s="109"/>
      <c r="E9" s="110"/>
      <c r="F9" s="351" t="s">
        <v>38</v>
      </c>
      <c r="G9" s="352"/>
      <c r="H9" s="353" t="s">
        <v>62</v>
      </c>
      <c r="I9" s="327"/>
      <c r="J9" s="109"/>
      <c r="K9" s="110"/>
      <c r="L9" s="109"/>
      <c r="M9" s="110"/>
      <c r="N9" s="109"/>
      <c r="O9" s="103"/>
      <c r="P9" s="99"/>
      <c r="Q9" s="165" t="s">
        <v>29</v>
      </c>
      <c r="R9" s="268" t="s">
        <v>30</v>
      </c>
      <c r="S9" s="269"/>
      <c r="T9" s="99"/>
      <c r="U9" s="165" t="s">
        <v>29</v>
      </c>
      <c r="V9" s="268" t="s">
        <v>30</v>
      </c>
      <c r="W9" s="269"/>
      <c r="X9" s="99"/>
      <c r="Y9" s="160" t="s">
        <v>29</v>
      </c>
      <c r="Z9" s="256" t="s">
        <v>30</v>
      </c>
      <c r="AA9" s="257"/>
      <c r="AC9" s="160" t="s">
        <v>29</v>
      </c>
      <c r="AD9" s="256" t="s">
        <v>30</v>
      </c>
      <c r="AE9" s="257"/>
    </row>
    <row r="10" spans="2:31" ht="17.100000000000001" customHeight="1">
      <c r="B10" s="103"/>
      <c r="C10" s="103"/>
      <c r="D10" s="109"/>
      <c r="E10" s="110"/>
      <c r="F10" s="109"/>
      <c r="G10" s="110"/>
      <c r="H10" s="109"/>
      <c r="I10" s="110"/>
      <c r="J10" s="109"/>
      <c r="K10" s="110"/>
      <c r="L10" s="109"/>
      <c r="M10" s="110"/>
      <c r="N10" s="109"/>
      <c r="O10" s="103"/>
      <c r="P10" s="99"/>
      <c r="Q10" s="166" t="s">
        <v>43</v>
      </c>
      <c r="R10" s="258" t="s">
        <v>152</v>
      </c>
      <c r="S10" s="259"/>
      <c r="T10" s="99"/>
      <c r="U10" s="166" t="s">
        <v>43</v>
      </c>
      <c r="V10" s="258" t="s">
        <v>177</v>
      </c>
      <c r="W10" s="259"/>
      <c r="X10" s="99"/>
      <c r="Y10" s="161" t="s">
        <v>31</v>
      </c>
      <c r="Z10" s="258" t="s">
        <v>162</v>
      </c>
      <c r="AA10" s="259"/>
      <c r="AC10" s="161" t="s">
        <v>31</v>
      </c>
      <c r="AD10" s="258" t="s">
        <v>162</v>
      </c>
      <c r="AE10" s="259"/>
    </row>
    <row r="11" spans="2:31" ht="17.100000000000001" customHeight="1" thickBot="1">
      <c r="B11" s="111"/>
      <c r="C11" s="111"/>
      <c r="D11" s="112"/>
      <c r="E11" s="113"/>
      <c r="F11" s="112"/>
      <c r="G11" s="113"/>
      <c r="H11" s="112"/>
      <c r="I11" s="113"/>
      <c r="J11" s="112"/>
      <c r="K11" s="113"/>
      <c r="L11" s="112"/>
      <c r="M11" s="113"/>
      <c r="N11" s="112"/>
      <c r="O11" s="111"/>
      <c r="P11" s="99"/>
      <c r="Q11" s="165" t="s">
        <v>32</v>
      </c>
      <c r="R11" s="321" t="s">
        <v>145</v>
      </c>
      <c r="S11" s="322"/>
      <c r="T11" s="99"/>
      <c r="U11" s="165" t="s">
        <v>32</v>
      </c>
      <c r="V11" s="321" t="s">
        <v>145</v>
      </c>
      <c r="W11" s="322"/>
      <c r="X11" s="99"/>
      <c r="Y11" s="162" t="s">
        <v>32</v>
      </c>
      <c r="Z11" s="260" t="s">
        <v>33</v>
      </c>
      <c r="AA11" s="261"/>
      <c r="AC11" s="162" t="s">
        <v>32</v>
      </c>
      <c r="AD11" s="260" t="s">
        <v>210</v>
      </c>
      <c r="AE11" s="261"/>
    </row>
    <row r="12" spans="2:31" ht="17.100000000000001" customHeight="1" thickBot="1">
      <c r="B12" s="296">
        <f>N6+1</f>
        <v>8</v>
      </c>
      <c r="C12" s="297"/>
      <c r="D12" s="274">
        <f>B12+1</f>
        <v>9</v>
      </c>
      <c r="E12" s="275"/>
      <c r="F12" s="274">
        <f>D12+1</f>
        <v>10</v>
      </c>
      <c r="G12" s="275"/>
      <c r="H12" s="274">
        <f t="shared" ref="H12" si="4">F12+1</f>
        <v>11</v>
      </c>
      <c r="I12" s="275"/>
      <c r="J12" s="274">
        <f t="shared" ref="J12" si="5">H12+1</f>
        <v>12</v>
      </c>
      <c r="K12" s="275"/>
      <c r="L12" s="274">
        <f t="shared" ref="L12" si="6">J12+1</f>
        <v>13</v>
      </c>
      <c r="M12" s="275"/>
      <c r="N12" s="298">
        <f t="shared" ref="N12" si="7">L12+1</f>
        <v>14</v>
      </c>
      <c r="O12" s="299"/>
      <c r="P12" s="99"/>
      <c r="Q12" s="163" t="s">
        <v>45</v>
      </c>
      <c r="R12" s="381">
        <v>46066</v>
      </c>
      <c r="S12" s="265"/>
      <c r="T12" s="99"/>
      <c r="U12" s="163" t="s">
        <v>45</v>
      </c>
      <c r="V12" s="381">
        <v>46085</v>
      </c>
      <c r="W12" s="265"/>
      <c r="X12" s="99"/>
    </row>
    <row r="13" spans="2:31" ht="17.100000000000001" customHeight="1" thickBot="1">
      <c r="B13" s="103"/>
      <c r="C13" s="103"/>
      <c r="D13" s="315" t="s">
        <v>155</v>
      </c>
      <c r="E13" s="316"/>
      <c r="F13" s="315" t="s">
        <v>155</v>
      </c>
      <c r="G13" s="316"/>
      <c r="H13" s="315" t="s">
        <v>155</v>
      </c>
      <c r="I13" s="316"/>
      <c r="J13" s="106"/>
      <c r="K13" s="116"/>
      <c r="L13" s="106"/>
      <c r="M13" s="116"/>
      <c r="N13" s="106"/>
      <c r="O13" s="107"/>
      <c r="P13" s="99"/>
      <c r="T13" s="99"/>
      <c r="X13" s="99"/>
      <c r="Y13" s="191" t="s">
        <v>24</v>
      </c>
      <c r="Z13" s="270" t="s">
        <v>160</v>
      </c>
      <c r="AA13" s="271"/>
      <c r="AC13" s="192" t="s">
        <v>39</v>
      </c>
      <c r="AD13" s="417" t="s">
        <v>184</v>
      </c>
      <c r="AE13" s="418"/>
    </row>
    <row r="14" spans="2:31" ht="17.100000000000001" customHeight="1" thickBot="1">
      <c r="B14" s="103"/>
      <c r="C14" s="103"/>
      <c r="D14" s="109"/>
      <c r="E14" s="110"/>
      <c r="F14" s="109"/>
      <c r="G14" s="110"/>
      <c r="H14" s="109"/>
      <c r="I14" s="110"/>
      <c r="J14" s="109"/>
      <c r="K14" s="110"/>
      <c r="L14" s="109"/>
      <c r="M14" s="110"/>
      <c r="N14" s="109"/>
      <c r="O14" s="103"/>
      <c r="P14" s="99"/>
      <c r="Q14" s="55" t="s">
        <v>143</v>
      </c>
      <c r="R14" s="452" t="s">
        <v>148</v>
      </c>
      <c r="S14" s="453"/>
      <c r="T14" s="99"/>
      <c r="U14" s="176" t="s">
        <v>24</v>
      </c>
      <c r="V14" s="369" t="s">
        <v>160</v>
      </c>
      <c r="W14" s="370"/>
      <c r="X14" s="99"/>
      <c r="Y14" s="159" t="s">
        <v>25</v>
      </c>
      <c r="Z14" s="254" t="s">
        <v>26</v>
      </c>
      <c r="AA14" s="255"/>
      <c r="AC14" s="159" t="s">
        <v>25</v>
      </c>
      <c r="AD14" s="254" t="s">
        <v>26</v>
      </c>
      <c r="AE14" s="255"/>
    </row>
    <row r="15" spans="2:31" ht="17.100000000000001" customHeight="1">
      <c r="B15" s="103"/>
      <c r="C15" s="103"/>
      <c r="D15" s="109"/>
      <c r="E15" s="110"/>
      <c r="F15" s="109"/>
      <c r="G15" s="110"/>
      <c r="H15" s="109"/>
      <c r="I15" s="110"/>
      <c r="J15" s="109"/>
      <c r="K15" s="110"/>
      <c r="L15" s="109"/>
      <c r="M15" s="110"/>
      <c r="N15" s="109"/>
      <c r="O15" s="103"/>
      <c r="P15" s="99"/>
      <c r="Q15" s="159" t="s">
        <v>25</v>
      </c>
      <c r="R15" s="254" t="s">
        <v>26</v>
      </c>
      <c r="S15" s="255"/>
      <c r="T15" s="99"/>
      <c r="U15" s="159" t="s">
        <v>25</v>
      </c>
      <c r="V15" s="254" t="s">
        <v>26</v>
      </c>
      <c r="W15" s="255"/>
      <c r="X15" s="99"/>
      <c r="Y15" s="160" t="s">
        <v>27</v>
      </c>
      <c r="Z15" s="256" t="s">
        <v>169</v>
      </c>
      <c r="AA15" s="257"/>
      <c r="AC15" s="165" t="s">
        <v>27</v>
      </c>
      <c r="AD15" s="268" t="s">
        <v>84</v>
      </c>
      <c r="AE15" s="269"/>
    </row>
    <row r="16" spans="2:31" ht="17.100000000000001" customHeight="1">
      <c r="B16" s="103"/>
      <c r="C16" s="103"/>
      <c r="D16" s="109"/>
      <c r="E16" s="110"/>
      <c r="F16" s="109"/>
      <c r="G16" s="110"/>
      <c r="H16" s="109"/>
      <c r="I16" s="110"/>
      <c r="J16" s="109"/>
      <c r="K16" s="110"/>
      <c r="L16" s="109"/>
      <c r="M16" s="110"/>
      <c r="N16" s="109"/>
      <c r="O16" s="103"/>
      <c r="P16" s="99"/>
      <c r="Q16" s="165" t="s">
        <v>27</v>
      </c>
      <c r="R16" s="268" t="s">
        <v>147</v>
      </c>
      <c r="S16" s="269"/>
      <c r="T16" s="99"/>
      <c r="U16" s="160" t="s">
        <v>27</v>
      </c>
      <c r="V16" s="256" t="s">
        <v>163</v>
      </c>
      <c r="W16" s="257"/>
      <c r="X16" s="99"/>
      <c r="Y16" s="160" t="s">
        <v>29</v>
      </c>
      <c r="Z16" s="256" t="s">
        <v>30</v>
      </c>
      <c r="AA16" s="257"/>
      <c r="AC16" s="165" t="s">
        <v>29</v>
      </c>
      <c r="AD16" s="268" t="s">
        <v>30</v>
      </c>
      <c r="AE16" s="269"/>
    </row>
    <row r="17" spans="1:31" ht="17.100000000000001" customHeight="1">
      <c r="B17" s="111"/>
      <c r="C17" s="111"/>
      <c r="D17" s="112"/>
      <c r="E17" s="113"/>
      <c r="F17" s="112"/>
      <c r="G17" s="113"/>
      <c r="H17" s="112"/>
      <c r="I17" s="113"/>
      <c r="J17" s="112"/>
      <c r="K17" s="113"/>
      <c r="L17" s="112"/>
      <c r="M17" s="113"/>
      <c r="N17" s="112"/>
      <c r="O17" s="111"/>
      <c r="P17" s="99"/>
      <c r="Q17" s="165" t="s">
        <v>29</v>
      </c>
      <c r="R17" s="268" t="s">
        <v>30</v>
      </c>
      <c r="S17" s="269"/>
      <c r="T17" s="99"/>
      <c r="U17" s="160" t="s">
        <v>29</v>
      </c>
      <c r="V17" s="256" t="s">
        <v>30</v>
      </c>
      <c r="W17" s="257"/>
      <c r="X17" s="99"/>
      <c r="Y17" s="161" t="s">
        <v>31</v>
      </c>
      <c r="Z17" s="258" t="s">
        <v>162</v>
      </c>
      <c r="AA17" s="259"/>
      <c r="AC17" s="166" t="s">
        <v>43</v>
      </c>
      <c r="AD17" s="258" t="s">
        <v>185</v>
      </c>
      <c r="AE17" s="259"/>
    </row>
    <row r="18" spans="1:31" ht="17.100000000000001" customHeight="1" thickBot="1">
      <c r="B18" s="296">
        <f>N12+1</f>
        <v>15</v>
      </c>
      <c r="C18" s="297"/>
      <c r="D18" s="300">
        <f>B18+1</f>
        <v>16</v>
      </c>
      <c r="E18" s="297"/>
      <c r="F18" s="300">
        <f>D18+1</f>
        <v>17</v>
      </c>
      <c r="G18" s="297"/>
      <c r="H18" s="300">
        <f t="shared" ref="H18" si="8">F18+1</f>
        <v>18</v>
      </c>
      <c r="I18" s="297"/>
      <c r="J18" s="274">
        <f t="shared" ref="J18" si="9">H18+1</f>
        <v>19</v>
      </c>
      <c r="K18" s="275"/>
      <c r="L18" s="274">
        <f t="shared" ref="L18" si="10">J18+1</f>
        <v>20</v>
      </c>
      <c r="M18" s="275"/>
      <c r="N18" s="298">
        <f t="shared" ref="N18" si="11">L18+1</f>
        <v>21</v>
      </c>
      <c r="O18" s="299"/>
      <c r="P18" s="99"/>
      <c r="Q18" s="166" t="s">
        <v>43</v>
      </c>
      <c r="R18" s="258" t="s">
        <v>151</v>
      </c>
      <c r="S18" s="259"/>
      <c r="T18" s="99"/>
      <c r="U18" s="161" t="s">
        <v>31</v>
      </c>
      <c r="V18" s="258" t="s">
        <v>162</v>
      </c>
      <c r="W18" s="259"/>
      <c r="X18" s="99"/>
      <c r="Y18" s="162" t="s">
        <v>32</v>
      </c>
      <c r="Z18" s="260" t="s">
        <v>33</v>
      </c>
      <c r="AA18" s="261"/>
      <c r="AC18" s="165" t="s">
        <v>32</v>
      </c>
      <c r="AD18" s="321" t="s">
        <v>33</v>
      </c>
      <c r="AE18" s="322"/>
    </row>
    <row r="19" spans="1:31" ht="17.100000000000001" customHeight="1" thickBot="1">
      <c r="B19" s="107"/>
      <c r="C19" s="116"/>
      <c r="D19" s="106"/>
      <c r="E19" s="116"/>
      <c r="F19" s="106"/>
      <c r="G19" s="116"/>
      <c r="H19" s="106"/>
      <c r="I19" s="116"/>
      <c r="J19" s="106"/>
      <c r="K19" s="116"/>
      <c r="L19" s="106"/>
      <c r="M19" s="116"/>
      <c r="N19" s="106"/>
      <c r="O19" s="107"/>
      <c r="P19" s="99"/>
      <c r="Q19" s="165" t="s">
        <v>32</v>
      </c>
      <c r="R19" s="321" t="s">
        <v>145</v>
      </c>
      <c r="S19" s="322"/>
      <c r="T19" s="99"/>
      <c r="U19" s="162" t="s">
        <v>32</v>
      </c>
      <c r="V19" s="260" t="s">
        <v>33</v>
      </c>
      <c r="W19" s="261"/>
      <c r="X19" s="99"/>
      <c r="AC19" s="163" t="s">
        <v>45</v>
      </c>
      <c r="AD19" s="381">
        <v>46086</v>
      </c>
      <c r="AE19" s="265"/>
    </row>
    <row r="20" spans="1:31" ht="17.100000000000001" customHeight="1" thickBot="1">
      <c r="B20" s="103"/>
      <c r="C20" s="103"/>
      <c r="D20" s="109"/>
      <c r="E20" s="110"/>
      <c r="F20" s="109"/>
      <c r="G20" s="110"/>
      <c r="H20" s="109"/>
      <c r="I20" s="110"/>
      <c r="J20" s="109"/>
      <c r="K20" s="110"/>
      <c r="L20" s="109"/>
      <c r="M20" s="110"/>
      <c r="N20" s="109"/>
      <c r="O20" s="103"/>
      <c r="P20" s="99"/>
      <c r="Q20" s="163" t="s">
        <v>45</v>
      </c>
      <c r="R20" s="381">
        <v>46063</v>
      </c>
      <c r="S20" s="265"/>
      <c r="T20" s="99"/>
      <c r="X20" s="99"/>
      <c r="Y20" s="194" t="s">
        <v>24</v>
      </c>
      <c r="Z20" s="386" t="s">
        <v>160</v>
      </c>
      <c r="AA20" s="387"/>
    </row>
    <row r="21" spans="1:31" ht="17.100000000000001" customHeight="1" thickBot="1">
      <c r="B21" s="103"/>
      <c r="C21" s="103"/>
      <c r="D21" s="109"/>
      <c r="E21" s="110"/>
      <c r="F21" s="109"/>
      <c r="G21" s="110"/>
      <c r="H21" s="109"/>
      <c r="I21" s="110"/>
      <c r="J21" s="109"/>
      <c r="K21" s="110"/>
      <c r="L21" s="109"/>
      <c r="M21" s="110"/>
      <c r="N21" s="109"/>
      <c r="O21" s="103"/>
      <c r="P21" s="99"/>
      <c r="T21" s="99"/>
      <c r="U21" s="208" t="s">
        <v>24</v>
      </c>
      <c r="V21" s="419" t="s">
        <v>160</v>
      </c>
      <c r="W21" s="420"/>
      <c r="X21" s="99"/>
      <c r="Y21" s="159" t="s">
        <v>25</v>
      </c>
      <c r="Z21" s="254" t="s">
        <v>26</v>
      </c>
      <c r="AA21" s="255"/>
      <c r="AC21" s="421" t="s">
        <v>9</v>
      </c>
      <c r="AD21" s="216" t="s">
        <v>189</v>
      </c>
      <c r="AE21" s="126">
        <v>2</v>
      </c>
    </row>
    <row r="22" spans="1:31" ht="17.100000000000001" customHeight="1" thickBot="1">
      <c r="B22" s="103"/>
      <c r="C22" s="103"/>
      <c r="D22" s="109"/>
      <c r="E22" s="110"/>
      <c r="F22" s="109"/>
      <c r="G22" s="110"/>
      <c r="H22" s="109"/>
      <c r="I22" s="110"/>
      <c r="J22" s="109"/>
      <c r="K22" s="110"/>
      <c r="L22" s="109"/>
      <c r="M22" s="110"/>
      <c r="N22" s="109"/>
      <c r="O22" s="103"/>
      <c r="P22" s="99"/>
      <c r="Q22" s="164" t="s">
        <v>24</v>
      </c>
      <c r="R22" s="347"/>
      <c r="S22" s="348"/>
      <c r="T22" s="99"/>
      <c r="U22" s="159" t="s">
        <v>25</v>
      </c>
      <c r="V22" s="254" t="s">
        <v>26</v>
      </c>
      <c r="W22" s="255"/>
      <c r="X22" s="99"/>
      <c r="Y22" s="160" t="s">
        <v>27</v>
      </c>
      <c r="Z22" s="256" t="s">
        <v>79</v>
      </c>
      <c r="AA22" s="257"/>
      <c r="AC22" s="422"/>
      <c r="AD22" s="217" t="s">
        <v>190</v>
      </c>
      <c r="AE22" s="132">
        <v>4</v>
      </c>
    </row>
    <row r="23" spans="1:31" ht="17.100000000000001" customHeight="1">
      <c r="B23" s="111"/>
      <c r="C23" s="111"/>
      <c r="D23" s="112"/>
      <c r="E23" s="113"/>
      <c r="F23" s="112"/>
      <c r="G23" s="113"/>
      <c r="H23" s="112"/>
      <c r="I23" s="113"/>
      <c r="J23" s="112"/>
      <c r="K23" s="113"/>
      <c r="L23" s="112"/>
      <c r="M23" s="113"/>
      <c r="N23" s="112"/>
      <c r="O23" s="111"/>
      <c r="P23" s="99"/>
      <c r="Q23" s="159" t="s">
        <v>25</v>
      </c>
      <c r="R23" s="254" t="s">
        <v>26</v>
      </c>
      <c r="S23" s="255"/>
      <c r="T23" s="99"/>
      <c r="U23" s="160" t="s">
        <v>27</v>
      </c>
      <c r="V23" s="256" t="s">
        <v>164</v>
      </c>
      <c r="W23" s="257"/>
      <c r="X23" s="99"/>
      <c r="Y23" s="160" t="s">
        <v>29</v>
      </c>
      <c r="Z23" s="256" t="s">
        <v>30</v>
      </c>
      <c r="AA23" s="257"/>
      <c r="AC23" s="422"/>
      <c r="AD23" s="217" t="s">
        <v>191</v>
      </c>
      <c r="AE23" s="132">
        <v>5</v>
      </c>
    </row>
    <row r="24" spans="1:31" ht="17.100000000000001" customHeight="1">
      <c r="B24" s="296">
        <f>N18+1</f>
        <v>22</v>
      </c>
      <c r="C24" s="297"/>
      <c r="D24" s="274">
        <f>B24+1</f>
        <v>23</v>
      </c>
      <c r="E24" s="275"/>
      <c r="F24" s="274">
        <f>D24+1</f>
        <v>24</v>
      </c>
      <c r="G24" s="275"/>
      <c r="H24" s="274">
        <f t="shared" ref="H24" si="12">F24+1</f>
        <v>25</v>
      </c>
      <c r="I24" s="275"/>
      <c r="J24" s="274">
        <f t="shared" ref="J24" si="13">H24+1</f>
        <v>26</v>
      </c>
      <c r="K24" s="275"/>
      <c r="L24" s="274">
        <f t="shared" ref="L24" si="14">J24+1</f>
        <v>27</v>
      </c>
      <c r="M24" s="275"/>
      <c r="N24" s="298">
        <f t="shared" ref="N24" si="15">L24+1</f>
        <v>28</v>
      </c>
      <c r="O24" s="299"/>
      <c r="P24" s="99"/>
      <c r="Q24" s="160" t="s">
        <v>27</v>
      </c>
      <c r="R24" s="256" t="s">
        <v>35</v>
      </c>
      <c r="S24" s="257"/>
      <c r="T24" s="99"/>
      <c r="U24" s="160" t="s">
        <v>29</v>
      </c>
      <c r="V24" s="256" t="s">
        <v>30</v>
      </c>
      <c r="W24" s="257"/>
      <c r="X24" s="99"/>
      <c r="Y24" s="161" t="s">
        <v>31</v>
      </c>
      <c r="Z24" s="258" t="s">
        <v>162</v>
      </c>
      <c r="AA24" s="259"/>
      <c r="AC24" s="422"/>
      <c r="AD24" s="217" t="s">
        <v>192</v>
      </c>
      <c r="AE24" s="132">
        <v>2</v>
      </c>
    </row>
    <row r="25" spans="1:31" ht="17.100000000000001" customHeight="1" thickBot="1">
      <c r="B25" s="107"/>
      <c r="C25" s="116"/>
      <c r="D25" s="330" t="s">
        <v>67</v>
      </c>
      <c r="E25" s="331"/>
      <c r="F25" s="330" t="s">
        <v>67</v>
      </c>
      <c r="G25" s="331"/>
      <c r="H25" s="330" t="s">
        <v>67</v>
      </c>
      <c r="I25" s="331"/>
      <c r="J25" s="330" t="s">
        <v>67</v>
      </c>
      <c r="K25" s="331"/>
      <c r="L25" s="330" t="s">
        <v>67</v>
      </c>
      <c r="M25" s="331"/>
      <c r="N25" s="311" t="s">
        <v>87</v>
      </c>
      <c r="O25" s="313"/>
      <c r="P25" s="99"/>
      <c r="Q25" s="160" t="s">
        <v>29</v>
      </c>
      <c r="R25" s="256" t="s">
        <v>30</v>
      </c>
      <c r="S25" s="257"/>
      <c r="T25" s="99"/>
      <c r="U25" s="161" t="s">
        <v>31</v>
      </c>
      <c r="V25" s="258" t="s">
        <v>162</v>
      </c>
      <c r="W25" s="259"/>
      <c r="X25" s="214"/>
      <c r="Y25" s="162" t="s">
        <v>32</v>
      </c>
      <c r="Z25" s="260" t="s">
        <v>33</v>
      </c>
      <c r="AA25" s="261"/>
      <c r="AC25" s="422"/>
      <c r="AD25" s="217" t="s">
        <v>193</v>
      </c>
      <c r="AE25" s="132">
        <v>3</v>
      </c>
    </row>
    <row r="26" spans="1:31" ht="17.100000000000001" customHeight="1" thickBot="1">
      <c r="B26" s="103"/>
      <c r="C26" s="103"/>
      <c r="D26" s="109"/>
      <c r="E26" s="110"/>
      <c r="F26" s="109"/>
      <c r="G26" s="110"/>
      <c r="H26" s="332" t="s">
        <v>178</v>
      </c>
      <c r="I26" s="333"/>
      <c r="J26" s="351" t="s">
        <v>38</v>
      </c>
      <c r="K26" s="352"/>
      <c r="L26" s="353" t="s">
        <v>62</v>
      </c>
      <c r="M26" s="327"/>
      <c r="N26" s="109"/>
      <c r="O26" s="103"/>
      <c r="P26" s="99"/>
      <c r="Q26" s="161" t="s">
        <v>31</v>
      </c>
      <c r="R26" s="258" t="s">
        <v>209</v>
      </c>
      <c r="S26" s="259"/>
      <c r="T26" s="99"/>
      <c r="U26" s="162" t="s">
        <v>32</v>
      </c>
      <c r="V26" s="260" t="s">
        <v>33</v>
      </c>
      <c r="W26" s="261"/>
      <c r="X26" s="214"/>
      <c r="AC26" s="422"/>
      <c r="AD26" s="217" t="s">
        <v>194</v>
      </c>
      <c r="AE26" s="132">
        <v>5</v>
      </c>
    </row>
    <row r="27" spans="1:31" ht="17.100000000000001" customHeight="1" thickBot="1">
      <c r="B27" s="103"/>
      <c r="C27" s="103"/>
      <c r="D27" s="109"/>
      <c r="E27" s="110"/>
      <c r="F27" s="109"/>
      <c r="G27" s="110"/>
      <c r="H27" s="351" t="s">
        <v>38</v>
      </c>
      <c r="I27" s="352"/>
      <c r="J27" s="430" t="s">
        <v>180</v>
      </c>
      <c r="K27" s="431"/>
      <c r="L27" s="432" t="s">
        <v>170</v>
      </c>
      <c r="M27" s="433"/>
      <c r="N27" s="109"/>
      <c r="O27" s="103"/>
      <c r="P27" s="99"/>
      <c r="Q27" s="193"/>
      <c r="R27" s="258" t="s">
        <v>179</v>
      </c>
      <c r="S27" s="259"/>
      <c r="T27" s="99"/>
      <c r="X27" s="122"/>
      <c r="Y27" s="213" t="s">
        <v>24</v>
      </c>
      <c r="Z27" s="424" t="s">
        <v>160</v>
      </c>
      <c r="AA27" s="425"/>
      <c r="AC27" s="422"/>
      <c r="AD27" s="217" t="s">
        <v>195</v>
      </c>
      <c r="AE27" s="132">
        <v>1</v>
      </c>
    </row>
    <row r="28" spans="1:31" ht="17.100000000000001" customHeight="1" thickBot="1">
      <c r="B28" s="103"/>
      <c r="C28" s="103"/>
      <c r="D28" s="109"/>
      <c r="E28" s="110"/>
      <c r="F28" s="109"/>
      <c r="G28" s="110"/>
      <c r="H28" s="109"/>
      <c r="I28" s="110"/>
      <c r="J28" s="426" t="s">
        <v>49</v>
      </c>
      <c r="K28" s="427"/>
      <c r="L28" s="428" t="s">
        <v>171</v>
      </c>
      <c r="M28" s="429"/>
      <c r="N28" s="109"/>
      <c r="O28" s="103"/>
      <c r="P28" s="99"/>
      <c r="Q28" s="162" t="s">
        <v>32</v>
      </c>
      <c r="R28" s="260" t="s">
        <v>33</v>
      </c>
      <c r="S28" s="261"/>
      <c r="T28" s="99"/>
      <c r="U28" s="173" t="s">
        <v>24</v>
      </c>
      <c r="V28" s="338" t="s">
        <v>160</v>
      </c>
      <c r="W28" s="339"/>
      <c r="X28" s="122"/>
      <c r="Y28" s="159" t="s">
        <v>25</v>
      </c>
      <c r="Z28" s="254" t="s">
        <v>26</v>
      </c>
      <c r="AA28" s="255"/>
      <c r="AC28" s="422"/>
      <c r="AD28" s="217" t="s">
        <v>196</v>
      </c>
      <c r="AE28" s="132">
        <v>1</v>
      </c>
    </row>
    <row r="29" spans="1:31" ht="17.100000000000001" customHeight="1" thickBot="1">
      <c r="B29" s="103"/>
      <c r="C29" s="103"/>
      <c r="D29" s="109"/>
      <c r="E29" s="110"/>
      <c r="F29" s="109"/>
      <c r="G29" s="110"/>
      <c r="H29" s="109"/>
      <c r="I29" s="110"/>
      <c r="J29" s="311" t="s">
        <v>87</v>
      </c>
      <c r="K29" s="312"/>
      <c r="L29" s="359" t="s">
        <v>172</v>
      </c>
      <c r="M29" s="360"/>
      <c r="N29" s="109"/>
      <c r="O29" s="103"/>
      <c r="P29" s="99"/>
      <c r="Q29" s="115"/>
      <c r="R29" s="115"/>
      <c r="S29" s="115"/>
      <c r="T29" s="99"/>
      <c r="U29" s="159" t="s">
        <v>25</v>
      </c>
      <c r="V29" s="254" t="s">
        <v>26</v>
      </c>
      <c r="W29" s="255"/>
      <c r="X29" s="122"/>
      <c r="Y29" s="160" t="s">
        <v>27</v>
      </c>
      <c r="Z29" s="256" t="s">
        <v>204</v>
      </c>
      <c r="AA29" s="257"/>
      <c r="AC29" s="422"/>
      <c r="AD29" s="217" t="s">
        <v>197</v>
      </c>
      <c r="AE29" s="132">
        <v>1</v>
      </c>
    </row>
    <row r="30" spans="1:31" ht="17.100000000000001" customHeight="1" thickBot="1">
      <c r="A30" s="21"/>
      <c r="B30" s="103"/>
      <c r="C30" s="103"/>
      <c r="D30" s="109"/>
      <c r="E30" s="110"/>
      <c r="F30" s="109"/>
      <c r="G30" s="110"/>
      <c r="H30" s="109"/>
      <c r="I30" s="110"/>
      <c r="J30" s="109"/>
      <c r="K30" s="110"/>
      <c r="L30" s="262" t="s">
        <v>173</v>
      </c>
      <c r="M30" s="263"/>
      <c r="N30" s="109"/>
      <c r="O30" s="103"/>
      <c r="P30" s="99"/>
      <c r="Q30" s="179" t="s">
        <v>24</v>
      </c>
      <c r="R30" s="365" t="s">
        <v>161</v>
      </c>
      <c r="S30" s="366"/>
      <c r="T30" s="99"/>
      <c r="U30" s="160" t="s">
        <v>27</v>
      </c>
      <c r="V30" s="256" t="s">
        <v>165</v>
      </c>
      <c r="W30" s="257"/>
      <c r="X30" s="122"/>
      <c r="Y30" s="160" t="s">
        <v>29</v>
      </c>
      <c r="Z30" s="256" t="s">
        <v>30</v>
      </c>
      <c r="AA30" s="257"/>
      <c r="AC30" s="422"/>
      <c r="AD30" s="218" t="s">
        <v>198</v>
      </c>
      <c r="AE30" s="129">
        <v>1</v>
      </c>
    </row>
    <row r="31" spans="1:31" ht="17.100000000000001" customHeight="1">
      <c r="A31" s="21"/>
      <c r="B31" s="103"/>
      <c r="C31" s="103"/>
      <c r="D31" s="109"/>
      <c r="E31" s="110"/>
      <c r="F31" s="109"/>
      <c r="G31" s="110"/>
      <c r="H31" s="109"/>
      <c r="I31" s="110"/>
      <c r="J31" s="109"/>
      <c r="K31" s="110"/>
      <c r="L31" s="357" t="s">
        <v>174</v>
      </c>
      <c r="M31" s="358"/>
      <c r="N31" s="109"/>
      <c r="O31" s="103"/>
      <c r="P31" s="99"/>
      <c r="Q31" s="159" t="s">
        <v>25</v>
      </c>
      <c r="R31" s="254" t="s">
        <v>26</v>
      </c>
      <c r="S31" s="255"/>
      <c r="T31" s="99"/>
      <c r="U31" s="160" t="s">
        <v>29</v>
      </c>
      <c r="V31" s="256" t="s">
        <v>30</v>
      </c>
      <c r="W31" s="257"/>
      <c r="X31" s="122"/>
      <c r="Y31" s="161" t="s">
        <v>31</v>
      </c>
      <c r="Z31" s="258" t="s">
        <v>162</v>
      </c>
      <c r="AA31" s="259"/>
      <c r="AC31" s="422"/>
      <c r="AD31" s="218" t="s">
        <v>199</v>
      </c>
      <c r="AE31" s="129">
        <v>1</v>
      </c>
    </row>
    <row r="32" spans="1:31" ht="17.100000000000001" customHeight="1" thickBot="1">
      <c r="B32" s="103"/>
      <c r="C32" s="103"/>
      <c r="D32" s="109"/>
      <c r="E32" s="110"/>
      <c r="F32" s="109"/>
      <c r="G32" s="110"/>
      <c r="H32" s="109"/>
      <c r="I32" s="110"/>
      <c r="J32" s="109"/>
      <c r="K32" s="110"/>
      <c r="L32" s="434" t="s">
        <v>74</v>
      </c>
      <c r="M32" s="435"/>
      <c r="N32" s="109"/>
      <c r="O32" s="103"/>
      <c r="P32" s="99"/>
      <c r="Q32" s="160" t="s">
        <v>27</v>
      </c>
      <c r="R32" s="256" t="s">
        <v>54</v>
      </c>
      <c r="S32" s="257"/>
      <c r="T32" s="99"/>
      <c r="U32" s="161" t="s">
        <v>31</v>
      </c>
      <c r="V32" s="258" t="s">
        <v>162</v>
      </c>
      <c r="W32" s="259"/>
      <c r="X32" s="122"/>
      <c r="Y32" s="162" t="s">
        <v>32</v>
      </c>
      <c r="Z32" s="260" t="s">
        <v>33</v>
      </c>
      <c r="AA32" s="261"/>
      <c r="AC32" s="422"/>
      <c r="AD32" s="218" t="s">
        <v>200</v>
      </c>
      <c r="AE32" s="129">
        <v>1</v>
      </c>
    </row>
    <row r="33" spans="2:31" ht="17.100000000000001" customHeight="1" thickBot="1">
      <c r="B33" s="103"/>
      <c r="C33" s="103"/>
      <c r="D33" s="109"/>
      <c r="E33" s="110"/>
      <c r="F33" s="109"/>
      <c r="G33" s="110"/>
      <c r="H33" s="109"/>
      <c r="I33" s="110"/>
      <c r="J33" s="109"/>
      <c r="K33" s="110"/>
      <c r="L33" s="324" t="s">
        <v>76</v>
      </c>
      <c r="M33" s="325"/>
      <c r="N33" s="109"/>
      <c r="O33" s="103"/>
      <c r="P33" s="99"/>
      <c r="Q33" s="160" t="s">
        <v>29</v>
      </c>
      <c r="R33" s="256" t="s">
        <v>30</v>
      </c>
      <c r="S33" s="257"/>
      <c r="T33" s="99"/>
      <c r="U33" s="162" t="s">
        <v>32</v>
      </c>
      <c r="V33" s="260" t="s">
        <v>33</v>
      </c>
      <c r="W33" s="261"/>
      <c r="X33" s="122"/>
      <c r="AC33" s="422"/>
      <c r="AD33" s="218" t="s">
        <v>201</v>
      </c>
      <c r="AE33" s="129">
        <v>1</v>
      </c>
    </row>
    <row r="34" spans="2:31" ht="17.100000000000001" customHeight="1" thickBot="1">
      <c r="B34" s="103"/>
      <c r="C34" s="103"/>
      <c r="D34" s="109"/>
      <c r="E34" s="110"/>
      <c r="F34" s="109"/>
      <c r="G34" s="110"/>
      <c r="H34" s="109"/>
      <c r="I34" s="110"/>
      <c r="J34" s="109"/>
      <c r="K34" s="110"/>
      <c r="L34" s="438" t="s">
        <v>81</v>
      </c>
      <c r="M34" s="439"/>
      <c r="N34" s="109"/>
      <c r="O34" s="103"/>
      <c r="P34" s="99"/>
      <c r="Q34" s="161" t="s">
        <v>31</v>
      </c>
      <c r="R34" s="258" t="s">
        <v>153</v>
      </c>
      <c r="S34" s="259"/>
      <c r="T34" s="99"/>
      <c r="U34" s="99"/>
      <c r="V34" s="115"/>
      <c r="W34" s="206"/>
      <c r="X34" s="215"/>
      <c r="Y34" s="211" t="s">
        <v>143</v>
      </c>
      <c r="Z34" s="440" t="s">
        <v>182</v>
      </c>
      <c r="AA34" s="441"/>
      <c r="AC34" s="422"/>
      <c r="AD34" s="219" t="s">
        <v>202</v>
      </c>
      <c r="AE34" s="129">
        <v>1</v>
      </c>
    </row>
    <row r="35" spans="2:31" ht="17.100000000000001" customHeight="1" thickBot="1">
      <c r="B35" s="103"/>
      <c r="C35" s="103"/>
      <c r="D35" s="109"/>
      <c r="E35" s="110"/>
      <c r="F35" s="109"/>
      <c r="G35" s="110"/>
      <c r="H35" s="109"/>
      <c r="I35" s="110"/>
      <c r="J35" s="109"/>
      <c r="K35" s="110"/>
      <c r="L35" s="436" t="s">
        <v>72</v>
      </c>
      <c r="M35" s="437"/>
      <c r="N35" s="109"/>
      <c r="O35" s="103"/>
      <c r="P35" s="99"/>
      <c r="Q35" s="193"/>
      <c r="R35" s="258" t="s">
        <v>162</v>
      </c>
      <c r="S35" s="259"/>
      <c r="T35" s="99"/>
      <c r="U35" s="197" t="s">
        <v>24</v>
      </c>
      <c r="V35" s="252" t="s">
        <v>160</v>
      </c>
      <c r="W35" s="253"/>
      <c r="X35" s="214"/>
      <c r="Y35" s="159" t="s">
        <v>25</v>
      </c>
      <c r="Z35" s="254" t="s">
        <v>26</v>
      </c>
      <c r="AA35" s="255"/>
      <c r="AC35" s="422"/>
      <c r="AD35" s="220" t="s">
        <v>203</v>
      </c>
      <c r="AE35" s="132">
        <v>1</v>
      </c>
    </row>
    <row r="36" spans="2:31" ht="17.100000000000001" customHeight="1" thickBot="1">
      <c r="B36" s="103"/>
      <c r="C36" s="103"/>
      <c r="D36" s="109"/>
      <c r="E36" s="110"/>
      <c r="F36" s="109"/>
      <c r="G36" s="110"/>
      <c r="H36" s="109"/>
      <c r="I36" s="110"/>
      <c r="J36" s="109"/>
      <c r="K36" s="110"/>
      <c r="L36" s="354" t="s">
        <v>87</v>
      </c>
      <c r="M36" s="329"/>
      <c r="N36" s="109"/>
      <c r="O36" s="103"/>
      <c r="P36" s="99"/>
      <c r="Q36" s="162" t="s">
        <v>32</v>
      </c>
      <c r="R36" s="260" t="s">
        <v>33</v>
      </c>
      <c r="S36" s="261"/>
      <c r="T36" s="99"/>
      <c r="U36" s="159" t="s">
        <v>25</v>
      </c>
      <c r="V36" s="254" t="s">
        <v>26</v>
      </c>
      <c r="W36" s="255"/>
      <c r="X36" s="214"/>
      <c r="Y36" s="165" t="s">
        <v>27</v>
      </c>
      <c r="Z36" s="268" t="s">
        <v>186</v>
      </c>
      <c r="AA36" s="269"/>
      <c r="AC36" s="422"/>
      <c r="AD36" s="220" t="s">
        <v>205</v>
      </c>
      <c r="AE36" s="132">
        <v>1</v>
      </c>
    </row>
    <row r="37" spans="2:31" ht="17.100000000000001" customHeight="1" thickBot="1">
      <c r="B37" s="111"/>
      <c r="C37" s="111"/>
      <c r="D37" s="112"/>
      <c r="E37" s="113"/>
      <c r="F37" s="112"/>
      <c r="G37" s="113"/>
      <c r="H37" s="112"/>
      <c r="I37" s="113"/>
      <c r="J37" s="112"/>
      <c r="K37" s="113"/>
      <c r="L37" s="311" t="s">
        <v>87</v>
      </c>
      <c r="M37" s="312"/>
      <c r="N37" s="112"/>
      <c r="O37" s="111"/>
      <c r="P37" s="21"/>
      <c r="U37" s="160" t="s">
        <v>27</v>
      </c>
      <c r="V37" s="256" t="s">
        <v>166</v>
      </c>
      <c r="W37" s="257"/>
      <c r="Y37" s="165" t="s">
        <v>29</v>
      </c>
      <c r="Z37" s="268" t="s">
        <v>30</v>
      </c>
      <c r="AA37" s="269"/>
      <c r="AC37" s="422"/>
      <c r="AD37" s="220" t="s">
        <v>211</v>
      </c>
      <c r="AE37" s="132">
        <v>1</v>
      </c>
    </row>
    <row r="38" spans="2:31" ht="17.100000000000001" customHeight="1" thickBot="1">
      <c r="B38" s="442"/>
      <c r="C38" s="442"/>
      <c r="D38" s="443"/>
      <c r="E38" s="442"/>
      <c r="F38" s="443"/>
      <c r="G38" s="442"/>
      <c r="H38" s="443"/>
      <c r="I38" s="442"/>
      <c r="J38" s="443"/>
      <c r="K38" s="442"/>
      <c r="L38" s="443"/>
      <c r="M38" s="442"/>
      <c r="N38" s="443"/>
      <c r="O38" s="442"/>
      <c r="P38" s="21"/>
      <c r="Q38" s="167" t="s">
        <v>39</v>
      </c>
      <c r="R38" s="266" t="s">
        <v>154</v>
      </c>
      <c r="S38" s="267"/>
      <c r="U38" s="160" t="s">
        <v>29</v>
      </c>
      <c r="V38" s="256" t="s">
        <v>30</v>
      </c>
      <c r="W38" s="257"/>
      <c r="Y38" s="166" t="s">
        <v>43</v>
      </c>
      <c r="Z38" s="258" t="s">
        <v>183</v>
      </c>
      <c r="AA38" s="259"/>
      <c r="AC38" s="422"/>
      <c r="AD38" s="220" t="s">
        <v>206</v>
      </c>
      <c r="AE38" s="132">
        <v>1</v>
      </c>
    </row>
    <row r="39" spans="2:31" ht="17.100000000000001" customHeight="1" thickBot="1">
      <c r="B39" s="103"/>
      <c r="C39" s="110"/>
      <c r="D39" s="106"/>
      <c r="E39" s="116"/>
      <c r="F39" s="106"/>
      <c r="G39" s="116"/>
      <c r="H39" s="106"/>
      <c r="I39" s="116"/>
      <c r="J39" s="106"/>
      <c r="K39" s="116"/>
      <c r="L39" s="109"/>
      <c r="M39" s="110"/>
      <c r="N39" s="109"/>
      <c r="O39" s="103"/>
      <c r="P39" s="21"/>
      <c r="Q39" s="159" t="s">
        <v>25</v>
      </c>
      <c r="R39" s="254" t="s">
        <v>26</v>
      </c>
      <c r="S39" s="255"/>
      <c r="U39" s="161" t="s">
        <v>31</v>
      </c>
      <c r="V39" s="258" t="s">
        <v>162</v>
      </c>
      <c r="W39" s="259"/>
      <c r="Y39" s="165" t="s">
        <v>32</v>
      </c>
      <c r="Z39" s="321" t="s">
        <v>33</v>
      </c>
      <c r="AA39" s="322"/>
      <c r="AC39" s="422"/>
      <c r="AD39" s="221" t="s">
        <v>207</v>
      </c>
      <c r="AE39" s="132">
        <v>1</v>
      </c>
    </row>
    <row r="40" spans="2:31" ht="17.100000000000001" customHeight="1" thickBot="1">
      <c r="B40" s="103"/>
      <c r="C40" s="110"/>
      <c r="D40" s="109"/>
      <c r="E40" s="110"/>
      <c r="F40" s="109"/>
      <c r="G40" s="110"/>
      <c r="H40" s="109"/>
      <c r="I40" s="110"/>
      <c r="J40" s="109"/>
      <c r="K40" s="110"/>
      <c r="L40" s="109"/>
      <c r="M40" s="110"/>
      <c r="N40" s="109"/>
      <c r="O40" s="103"/>
      <c r="P40" s="21"/>
      <c r="Q40" s="165" t="s">
        <v>27</v>
      </c>
      <c r="R40" s="268" t="s">
        <v>156</v>
      </c>
      <c r="S40" s="269"/>
      <c r="U40" s="162" t="s">
        <v>32</v>
      </c>
      <c r="V40" s="260" t="s">
        <v>33</v>
      </c>
      <c r="W40" s="261"/>
      <c r="Y40" s="163" t="s">
        <v>45</v>
      </c>
      <c r="Z40" s="381">
        <v>46093</v>
      </c>
      <c r="AA40" s="265"/>
      <c r="AC40" s="423"/>
      <c r="AD40" s="219" t="s">
        <v>208</v>
      </c>
      <c r="AE40" s="129">
        <v>3</v>
      </c>
    </row>
    <row r="41" spans="2:31" ht="17.100000000000001" customHeight="1" thickBot="1">
      <c r="B41" s="103"/>
      <c r="C41" s="103"/>
      <c r="D41" s="109"/>
      <c r="E41" s="110"/>
      <c r="F41" s="109"/>
      <c r="G41" s="110"/>
      <c r="H41" s="109"/>
      <c r="I41" s="110"/>
      <c r="J41" s="109"/>
      <c r="K41" s="110"/>
      <c r="L41" s="109"/>
      <c r="M41" s="110"/>
      <c r="N41" s="109"/>
      <c r="O41" s="103"/>
      <c r="P41" s="21"/>
      <c r="Q41" s="165" t="s">
        <v>29</v>
      </c>
      <c r="R41" s="268" t="s">
        <v>30</v>
      </c>
      <c r="S41" s="269"/>
      <c r="U41" s="99"/>
      <c r="V41" s="214"/>
      <c r="W41" s="214"/>
      <c r="AC41" s="444" t="s">
        <v>213</v>
      </c>
      <c r="AD41" s="445"/>
      <c r="AE41" s="446"/>
    </row>
    <row r="42" spans="2:31" ht="18" thickBot="1">
      <c r="B42" s="103"/>
      <c r="C42" s="103"/>
      <c r="D42" s="109"/>
      <c r="E42" s="110"/>
      <c r="F42" s="109"/>
      <c r="G42" s="110"/>
      <c r="H42" s="109"/>
      <c r="I42" s="110"/>
      <c r="J42" s="109"/>
      <c r="K42" s="110"/>
      <c r="L42" s="109"/>
      <c r="M42" s="110"/>
      <c r="N42" s="109"/>
      <c r="O42" s="103"/>
      <c r="Q42" s="166" t="s">
        <v>43</v>
      </c>
      <c r="R42" s="258" t="s">
        <v>157</v>
      </c>
      <c r="S42" s="259"/>
      <c r="U42" s="175" t="s">
        <v>24</v>
      </c>
      <c r="V42" s="319" t="s">
        <v>160</v>
      </c>
      <c r="W42" s="320"/>
      <c r="Y42" s="212" t="s">
        <v>143</v>
      </c>
      <c r="Z42" s="450" t="s">
        <v>181</v>
      </c>
      <c r="AA42" s="451"/>
      <c r="AC42" s="447"/>
      <c r="AD42" s="448"/>
      <c r="AE42" s="449"/>
    </row>
    <row r="43" spans="2:31" ht="18" thickBot="1">
      <c r="B43" s="111"/>
      <c r="C43" s="111"/>
      <c r="D43" s="112"/>
      <c r="E43" s="113"/>
      <c r="F43" s="112"/>
      <c r="G43" s="113"/>
      <c r="H43" s="112"/>
      <c r="I43" s="113"/>
      <c r="J43" s="112"/>
      <c r="K43" s="113"/>
      <c r="L43" s="112"/>
      <c r="M43" s="113"/>
      <c r="N43" s="112"/>
      <c r="O43" s="111"/>
      <c r="Q43" s="165" t="s">
        <v>32</v>
      </c>
      <c r="R43" s="321" t="s">
        <v>33</v>
      </c>
      <c r="S43" s="322"/>
      <c r="U43" s="159" t="s">
        <v>25</v>
      </c>
      <c r="V43" s="254" t="s">
        <v>26</v>
      </c>
      <c r="W43" s="255"/>
      <c r="Y43" s="159" t="s">
        <v>25</v>
      </c>
      <c r="Z43" s="254" t="s">
        <v>26</v>
      </c>
      <c r="AA43" s="255"/>
      <c r="AC43" s="133" t="s">
        <v>10</v>
      </c>
      <c r="AD43" s="334">
        <f>(SUM(AE21:AE40)-2)*88000+(110000*2)</f>
        <v>3300000</v>
      </c>
      <c r="AE43" s="335"/>
    </row>
    <row r="44" spans="2:31" ht="18" thickBot="1">
      <c r="B44" s="301"/>
      <c r="C44" s="301"/>
      <c r="D44" s="276"/>
      <c r="E44" s="276"/>
      <c r="F44" s="276"/>
      <c r="G44" s="276"/>
      <c r="H44" s="377"/>
      <c r="I44" s="377"/>
      <c r="J44" s="377"/>
      <c r="K44" s="377"/>
      <c r="L44" s="377"/>
      <c r="M44" s="377"/>
      <c r="N44" s="377"/>
      <c r="O44" s="377"/>
      <c r="Q44" s="163" t="s">
        <v>45</v>
      </c>
      <c r="R44" s="264">
        <v>46066</v>
      </c>
      <c r="S44" s="265"/>
      <c r="U44" s="160" t="s">
        <v>27</v>
      </c>
      <c r="V44" s="256" t="s">
        <v>59</v>
      </c>
      <c r="W44" s="257"/>
      <c r="Y44" s="165" t="s">
        <v>27</v>
      </c>
      <c r="Z44" s="268" t="s">
        <v>188</v>
      </c>
      <c r="AA44" s="269"/>
    </row>
    <row r="45" spans="2:31" ht="18" thickBot="1">
      <c r="B45" s="397" t="s">
        <v>127</v>
      </c>
      <c r="C45" s="398"/>
      <c r="D45" s="397" t="s">
        <v>128</v>
      </c>
      <c r="E45" s="399"/>
      <c r="F45" s="399" t="s">
        <v>129</v>
      </c>
      <c r="G45" s="399"/>
      <c r="H45" s="399" t="s">
        <v>130</v>
      </c>
      <c r="I45" s="399"/>
      <c r="J45" s="399" t="s">
        <v>131</v>
      </c>
      <c r="K45" s="399"/>
      <c r="L45" s="399" t="s">
        <v>132</v>
      </c>
      <c r="M45" s="399"/>
      <c r="N45" s="399" t="s">
        <v>133</v>
      </c>
      <c r="O45" s="398"/>
      <c r="Q45" s="99"/>
      <c r="R45" s="99"/>
      <c r="S45" s="99"/>
      <c r="U45" s="160" t="s">
        <v>29</v>
      </c>
      <c r="V45" s="256" t="s">
        <v>30</v>
      </c>
      <c r="W45" s="257"/>
      <c r="Y45" s="165" t="s">
        <v>29</v>
      </c>
      <c r="Z45" s="268" t="s">
        <v>30</v>
      </c>
      <c r="AA45" s="269"/>
    </row>
    <row r="46" spans="2:31" ht="18" thickBot="1">
      <c r="B46" s="400" t="s">
        <v>134</v>
      </c>
      <c r="C46" s="401"/>
      <c r="D46" s="402" t="s">
        <v>142</v>
      </c>
      <c r="E46" s="403"/>
      <c r="F46" s="404" t="s">
        <v>214</v>
      </c>
      <c r="G46" s="404"/>
      <c r="H46" s="404"/>
      <c r="I46" s="404"/>
      <c r="J46" s="404"/>
      <c r="K46" s="404"/>
      <c r="L46" s="404"/>
      <c r="M46" s="404"/>
      <c r="N46" s="404"/>
      <c r="O46" s="405"/>
      <c r="Q46" s="207" t="s">
        <v>39</v>
      </c>
      <c r="R46" s="384" t="s">
        <v>158</v>
      </c>
      <c r="S46" s="385"/>
      <c r="U46" s="161" t="s">
        <v>31</v>
      </c>
      <c r="V46" s="258" t="s">
        <v>162</v>
      </c>
      <c r="W46" s="259"/>
      <c r="Y46" s="166" t="s">
        <v>43</v>
      </c>
      <c r="Z46" s="258" t="s">
        <v>183</v>
      </c>
      <c r="AA46" s="259"/>
    </row>
    <row r="47" spans="2:31" ht="18" thickBot="1">
      <c r="B47" s="406" t="s">
        <v>135</v>
      </c>
      <c r="C47" s="407"/>
      <c r="D47" s="408">
        <v>4950000</v>
      </c>
      <c r="E47" s="409"/>
      <c r="F47" s="410">
        <v>3300000</v>
      </c>
      <c r="G47" s="409"/>
      <c r="H47" s="410"/>
      <c r="I47" s="409"/>
      <c r="J47" s="410"/>
      <c r="K47" s="409"/>
      <c r="L47" s="410"/>
      <c r="M47" s="409"/>
      <c r="N47" s="410"/>
      <c r="O47" s="407"/>
      <c r="Q47" s="159" t="s">
        <v>25</v>
      </c>
      <c r="R47" s="254" t="s">
        <v>26</v>
      </c>
      <c r="S47" s="255"/>
      <c r="U47" s="162" t="s">
        <v>32</v>
      </c>
      <c r="V47" s="260" t="s">
        <v>33</v>
      </c>
      <c r="W47" s="261"/>
      <c r="Y47" s="165" t="s">
        <v>32</v>
      </c>
      <c r="Z47" s="321" t="s">
        <v>33</v>
      </c>
      <c r="AA47" s="322"/>
    </row>
    <row r="48" spans="2:31" ht="18" thickBot="1"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Q48" s="165" t="s">
        <v>27</v>
      </c>
      <c r="R48" s="268" t="s">
        <v>159</v>
      </c>
      <c r="S48" s="269"/>
      <c r="Y48" s="163" t="s">
        <v>45</v>
      </c>
      <c r="Z48" s="381">
        <v>46091</v>
      </c>
      <c r="AA48" s="265"/>
    </row>
    <row r="49" spans="2:19" ht="17.25">
      <c r="B49" s="397" t="s">
        <v>127</v>
      </c>
      <c r="C49" s="398"/>
      <c r="D49" s="397" t="s">
        <v>136</v>
      </c>
      <c r="E49" s="399"/>
      <c r="F49" s="399" t="s">
        <v>137</v>
      </c>
      <c r="G49" s="399"/>
      <c r="H49" s="399" t="s">
        <v>138</v>
      </c>
      <c r="I49" s="399"/>
      <c r="J49" s="399" t="s">
        <v>139</v>
      </c>
      <c r="K49" s="399"/>
      <c r="L49" s="399" t="s">
        <v>140</v>
      </c>
      <c r="M49" s="399"/>
      <c r="N49" s="399" t="s">
        <v>141</v>
      </c>
      <c r="O49" s="398"/>
      <c r="Q49" s="165" t="s">
        <v>29</v>
      </c>
      <c r="R49" s="268" t="s">
        <v>30</v>
      </c>
      <c r="S49" s="269"/>
    </row>
    <row r="50" spans="2:19" ht="18" thickBot="1">
      <c r="B50" s="400" t="s">
        <v>134</v>
      </c>
      <c r="C50" s="401"/>
      <c r="D50" s="402"/>
      <c r="E50" s="403"/>
      <c r="F50" s="404"/>
      <c r="G50" s="404"/>
      <c r="H50" s="404"/>
      <c r="I50" s="404"/>
      <c r="J50" s="404"/>
      <c r="K50" s="404"/>
      <c r="L50" s="404"/>
      <c r="M50" s="404"/>
      <c r="N50" s="404"/>
      <c r="O50" s="405"/>
      <c r="Q50" s="166" t="s">
        <v>43</v>
      </c>
      <c r="R50" s="258" t="s">
        <v>167</v>
      </c>
      <c r="S50" s="259"/>
    </row>
    <row r="51" spans="2:19" ht="18" thickBot="1">
      <c r="B51" s="406" t="s">
        <v>135</v>
      </c>
      <c r="C51" s="407"/>
      <c r="D51" s="408"/>
      <c r="E51" s="409"/>
      <c r="F51" s="410"/>
      <c r="G51" s="409"/>
      <c r="H51" s="410"/>
      <c r="I51" s="409"/>
      <c r="J51" s="410"/>
      <c r="K51" s="409"/>
      <c r="L51" s="410"/>
      <c r="M51" s="409"/>
      <c r="N51" s="410"/>
      <c r="O51" s="407"/>
      <c r="Q51" s="165" t="s">
        <v>32</v>
      </c>
      <c r="R51" s="321" t="s">
        <v>33</v>
      </c>
      <c r="S51" s="322"/>
    </row>
    <row r="52" spans="2:19" ht="17.25" thickBot="1">
      <c r="Q52" s="163" t="s">
        <v>45</v>
      </c>
      <c r="R52" s="264">
        <v>46086</v>
      </c>
      <c r="S52" s="265"/>
    </row>
  </sheetData>
  <mergeCells count="265">
    <mergeCell ref="H50:I50"/>
    <mergeCell ref="J50:K50"/>
    <mergeCell ref="L50:M50"/>
    <mergeCell ref="N50:O50"/>
    <mergeCell ref="R47:S47"/>
    <mergeCell ref="R46:S46"/>
    <mergeCell ref="N45:O45"/>
    <mergeCell ref="R48:S48"/>
    <mergeCell ref="Z48:AA48"/>
    <mergeCell ref="B49:C49"/>
    <mergeCell ref="D49:E49"/>
    <mergeCell ref="F49:G49"/>
    <mergeCell ref="H49:I49"/>
    <mergeCell ref="J49:K49"/>
    <mergeCell ref="R52:S52"/>
    <mergeCell ref="R14:S14"/>
    <mergeCell ref="R50:S50"/>
    <mergeCell ref="B51:C51"/>
    <mergeCell ref="D51:E51"/>
    <mergeCell ref="F51:G51"/>
    <mergeCell ref="H51:I51"/>
    <mergeCell ref="J51:K51"/>
    <mergeCell ref="L51:M51"/>
    <mergeCell ref="N51:O51"/>
    <mergeCell ref="R51:S51"/>
    <mergeCell ref="L49:M49"/>
    <mergeCell ref="N49:O49"/>
    <mergeCell ref="R49:S49"/>
    <mergeCell ref="B50:C50"/>
    <mergeCell ref="D50:E50"/>
    <mergeCell ref="F50:G50"/>
    <mergeCell ref="B47:C47"/>
    <mergeCell ref="D47:E47"/>
    <mergeCell ref="F47:G47"/>
    <mergeCell ref="H47:I47"/>
    <mergeCell ref="J47:K47"/>
    <mergeCell ref="L47:M47"/>
    <mergeCell ref="N47:O47"/>
    <mergeCell ref="V47:W47"/>
    <mergeCell ref="Z47:AA47"/>
    <mergeCell ref="B45:C45"/>
    <mergeCell ref="D45:E45"/>
    <mergeCell ref="F45:G45"/>
    <mergeCell ref="H45:I45"/>
    <mergeCell ref="J45:K45"/>
    <mergeCell ref="L45:M45"/>
    <mergeCell ref="V45:W45"/>
    <mergeCell ref="Z45:AA45"/>
    <mergeCell ref="B46:C46"/>
    <mergeCell ref="D46:E46"/>
    <mergeCell ref="F46:G46"/>
    <mergeCell ref="H46:I46"/>
    <mergeCell ref="J46:K46"/>
    <mergeCell ref="L46:M46"/>
    <mergeCell ref="N46:O46"/>
    <mergeCell ref="V46:W46"/>
    <mergeCell ref="Z46:AA46"/>
    <mergeCell ref="R43:S43"/>
    <mergeCell ref="V43:W43"/>
    <mergeCell ref="Z43:AA43"/>
    <mergeCell ref="AD43:AE43"/>
    <mergeCell ref="B44:C44"/>
    <mergeCell ref="D44:E44"/>
    <mergeCell ref="F44:G44"/>
    <mergeCell ref="H44:I44"/>
    <mergeCell ref="J44:K44"/>
    <mergeCell ref="L44:M44"/>
    <mergeCell ref="N44:O44"/>
    <mergeCell ref="R44:S44"/>
    <mergeCell ref="V44:W44"/>
    <mergeCell ref="Z44:AA44"/>
    <mergeCell ref="R41:S41"/>
    <mergeCell ref="AC41:AE42"/>
    <mergeCell ref="R42:S42"/>
    <mergeCell ref="V42:W42"/>
    <mergeCell ref="Z42:AA42"/>
    <mergeCell ref="R38:S38"/>
    <mergeCell ref="V38:W38"/>
    <mergeCell ref="Z38:AA38"/>
    <mergeCell ref="R39:S39"/>
    <mergeCell ref="V39:W39"/>
    <mergeCell ref="Z39:AA39"/>
    <mergeCell ref="L37:M37"/>
    <mergeCell ref="V37:W37"/>
    <mergeCell ref="Z37:AA37"/>
    <mergeCell ref="B38:C38"/>
    <mergeCell ref="D38:E38"/>
    <mergeCell ref="F38:G38"/>
    <mergeCell ref="H38:I38"/>
    <mergeCell ref="J38:K38"/>
    <mergeCell ref="L38:M38"/>
    <mergeCell ref="N38:O38"/>
    <mergeCell ref="L35:M35"/>
    <mergeCell ref="R35:S35"/>
    <mergeCell ref="V35:W35"/>
    <mergeCell ref="Z35:AA35"/>
    <mergeCell ref="L36:M36"/>
    <mergeCell ref="R36:S36"/>
    <mergeCell ref="V36:W36"/>
    <mergeCell ref="Z36:AA36"/>
    <mergeCell ref="L33:M33"/>
    <mergeCell ref="R33:S33"/>
    <mergeCell ref="V33:W33"/>
    <mergeCell ref="L34:M34"/>
    <mergeCell ref="R34:S34"/>
    <mergeCell ref="Z34:AA34"/>
    <mergeCell ref="L31:M31"/>
    <mergeCell ref="R31:S31"/>
    <mergeCell ref="V31:W31"/>
    <mergeCell ref="Z31:AA31"/>
    <mergeCell ref="L32:M32"/>
    <mergeCell ref="R32:S32"/>
    <mergeCell ref="V32:W32"/>
    <mergeCell ref="Z32:AA32"/>
    <mergeCell ref="J29:K29"/>
    <mergeCell ref="L29:M29"/>
    <mergeCell ref="V29:W29"/>
    <mergeCell ref="Z29:AA29"/>
    <mergeCell ref="L30:M30"/>
    <mergeCell ref="R30:S30"/>
    <mergeCell ref="V30:W30"/>
    <mergeCell ref="Z30:AA30"/>
    <mergeCell ref="J28:K28"/>
    <mergeCell ref="L28:M28"/>
    <mergeCell ref="R28:S28"/>
    <mergeCell ref="V28:W28"/>
    <mergeCell ref="Z28:AA28"/>
    <mergeCell ref="H26:I26"/>
    <mergeCell ref="J26:K26"/>
    <mergeCell ref="L26:M26"/>
    <mergeCell ref="R26:S26"/>
    <mergeCell ref="V26:W26"/>
    <mergeCell ref="H27:I27"/>
    <mergeCell ref="J27:K27"/>
    <mergeCell ref="L27:M27"/>
    <mergeCell ref="R27:S27"/>
    <mergeCell ref="D25:E25"/>
    <mergeCell ref="F25:G25"/>
    <mergeCell ref="H25:I25"/>
    <mergeCell ref="J25:K25"/>
    <mergeCell ref="L25:M25"/>
    <mergeCell ref="N25:O25"/>
    <mergeCell ref="R25:S25"/>
    <mergeCell ref="V25:W25"/>
    <mergeCell ref="Z25:AA25"/>
    <mergeCell ref="B24:C24"/>
    <mergeCell ref="D24:E24"/>
    <mergeCell ref="F24:G24"/>
    <mergeCell ref="H24:I24"/>
    <mergeCell ref="J24:K24"/>
    <mergeCell ref="L24:M24"/>
    <mergeCell ref="N24:O24"/>
    <mergeCell ref="R24:S24"/>
    <mergeCell ref="V24:W24"/>
    <mergeCell ref="V21:W21"/>
    <mergeCell ref="Z21:AA21"/>
    <mergeCell ref="AC21:AC40"/>
    <mergeCell ref="R22:S22"/>
    <mergeCell ref="V22:W22"/>
    <mergeCell ref="Z22:AA22"/>
    <mergeCell ref="R23:S23"/>
    <mergeCell ref="V23:W23"/>
    <mergeCell ref="Z23:AA23"/>
    <mergeCell ref="Z24:AA24"/>
    <mergeCell ref="Z27:AA27"/>
    <mergeCell ref="R40:S40"/>
    <mergeCell ref="V40:W40"/>
    <mergeCell ref="Z40:AA40"/>
    <mergeCell ref="AD18:AE18"/>
    <mergeCell ref="R19:S19"/>
    <mergeCell ref="V19:W19"/>
    <mergeCell ref="AD19:AE19"/>
    <mergeCell ref="R17:S17"/>
    <mergeCell ref="V17:W17"/>
    <mergeCell ref="Z17:AA17"/>
    <mergeCell ref="AD17:AE17"/>
    <mergeCell ref="R20:S20"/>
    <mergeCell ref="Z20:AA20"/>
    <mergeCell ref="B18:C18"/>
    <mergeCell ref="D18:E18"/>
    <mergeCell ref="F18:G18"/>
    <mergeCell ref="H18:I18"/>
    <mergeCell ref="J18:K18"/>
    <mergeCell ref="L18:M18"/>
    <mergeCell ref="R15:S15"/>
    <mergeCell ref="V15:W15"/>
    <mergeCell ref="Z15:AA15"/>
    <mergeCell ref="N18:O18"/>
    <mergeCell ref="R18:S18"/>
    <mergeCell ref="V18:W18"/>
    <mergeCell ref="Z18:AA18"/>
    <mergeCell ref="AD15:AE15"/>
    <mergeCell ref="R16:S16"/>
    <mergeCell ref="V16:W16"/>
    <mergeCell ref="Z16:AA16"/>
    <mergeCell ref="AD16:AE16"/>
    <mergeCell ref="Z13:AA13"/>
    <mergeCell ref="AD13:AE13"/>
    <mergeCell ref="V14:W14"/>
    <mergeCell ref="Z14:AA14"/>
    <mergeCell ref="AD14:AE14"/>
    <mergeCell ref="N12:O12"/>
    <mergeCell ref="R12:S12"/>
    <mergeCell ref="V12:W12"/>
    <mergeCell ref="D13:E13"/>
    <mergeCell ref="F13:G13"/>
    <mergeCell ref="H13:I13"/>
    <mergeCell ref="B12:C12"/>
    <mergeCell ref="D12:E12"/>
    <mergeCell ref="F12:G12"/>
    <mergeCell ref="H12:I12"/>
    <mergeCell ref="J12:K12"/>
    <mergeCell ref="L12:M12"/>
    <mergeCell ref="R11:S11"/>
    <mergeCell ref="V11:W11"/>
    <mergeCell ref="Z11:AA11"/>
    <mergeCell ref="AD11:AE11"/>
    <mergeCell ref="F9:G9"/>
    <mergeCell ref="H9:I9"/>
    <mergeCell ref="R9:S9"/>
    <mergeCell ref="V9:W9"/>
    <mergeCell ref="Z9:AA9"/>
    <mergeCell ref="AD9:AE9"/>
    <mergeCell ref="D8:E8"/>
    <mergeCell ref="F8:G8"/>
    <mergeCell ref="H8:I8"/>
    <mergeCell ref="J8:K8"/>
    <mergeCell ref="R8:S8"/>
    <mergeCell ref="V8:W8"/>
    <mergeCell ref="Z8:AA8"/>
    <mergeCell ref="AD8:AE8"/>
    <mergeCell ref="R10:S10"/>
    <mergeCell ref="V10:W10"/>
    <mergeCell ref="Z10:AA10"/>
    <mergeCell ref="AD10:AE10"/>
    <mergeCell ref="V6:W6"/>
    <mergeCell ref="Z6:AA6"/>
    <mergeCell ref="AD6:AE6"/>
    <mergeCell ref="D7:E7"/>
    <mergeCell ref="F7:G7"/>
    <mergeCell ref="H7:I7"/>
    <mergeCell ref="J7:K7"/>
    <mergeCell ref="R7:S7"/>
    <mergeCell ref="V7:W7"/>
    <mergeCell ref="Z7:AA7"/>
    <mergeCell ref="AD7:AE7"/>
    <mergeCell ref="B6:C6"/>
    <mergeCell ref="D6:E6"/>
    <mergeCell ref="F6:G6"/>
    <mergeCell ref="H6:I6"/>
    <mergeCell ref="J6:K6"/>
    <mergeCell ref="L6:M6"/>
    <mergeCell ref="N6:O6"/>
    <mergeCell ref="B2:O3"/>
    <mergeCell ref="R6:S6"/>
    <mergeCell ref="Q2:S2"/>
    <mergeCell ref="Q3:S4"/>
    <mergeCell ref="B4:O4"/>
    <mergeCell ref="B5:C5"/>
    <mergeCell ref="D5:E5"/>
    <mergeCell ref="F5:G5"/>
    <mergeCell ref="H5:I5"/>
    <mergeCell ref="J5:K5"/>
    <mergeCell ref="L5:M5"/>
    <mergeCell ref="N5:O5"/>
  </mergeCells>
  <phoneticPr fontId="1" type="noConversion"/>
  <pageMargins left="0.25" right="0.25" top="0.75" bottom="0.75" header="0.3" footer="0.3"/>
  <pageSetup paperSize="9" scale="4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9"/>
  <sheetViews>
    <sheetView view="pageBreakPreview" zoomScale="80" zoomScaleNormal="85" zoomScaleSheetLayoutView="80" workbookViewId="0">
      <selection activeCell="U6" sqref="U6:W12"/>
    </sheetView>
  </sheetViews>
  <sheetFormatPr defaultColWidth="9" defaultRowHeight="16.5"/>
  <cols>
    <col min="1" max="1" width="5.625" style="1" customWidth="1"/>
    <col min="2" max="15" width="9" style="1"/>
    <col min="16" max="16" width="5.625" style="1" customWidth="1"/>
    <col min="17" max="19" width="10.625" style="1" customWidth="1"/>
    <col min="20" max="20" width="5.625" style="1" customWidth="1"/>
    <col min="21" max="23" width="10.625" style="1" customWidth="1"/>
    <col min="24" max="24" width="5.625" style="1" customWidth="1"/>
    <col min="25" max="27" width="10.625" style="1" customWidth="1"/>
    <col min="28" max="28" width="5.625" style="1" customWidth="1"/>
    <col min="29" max="16384" width="9" style="1"/>
  </cols>
  <sheetData>
    <row r="1" spans="1:29" ht="17.25" thickBot="1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</row>
    <row r="2" spans="1:29" ht="16.5" customHeight="1">
      <c r="A2" s="99"/>
      <c r="B2" s="272" t="s">
        <v>8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99"/>
      <c r="Q2" s="279" t="s">
        <v>0</v>
      </c>
      <c r="R2" s="280"/>
      <c r="S2" s="281"/>
      <c r="T2" s="99"/>
      <c r="U2" s="99"/>
      <c r="V2" s="99"/>
      <c r="W2" s="99"/>
      <c r="X2" s="99"/>
      <c r="Y2" s="99"/>
      <c r="Z2" s="99"/>
      <c r="AA2" s="99"/>
      <c r="AB2" s="99"/>
      <c r="AC2" s="99"/>
    </row>
    <row r="3" spans="1:29" ht="16.5" customHeight="1" thickBot="1">
      <c r="A3" s="99"/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99"/>
      <c r="Q3" s="282">
        <f>COUNTA($B$7:$O$11,$B$13:$O$17,$B$19:$O$23,$B$25:$O$29,$B$31:$O$35,$B$37:$O$41)*88000</f>
        <v>2024000</v>
      </c>
      <c r="R3" s="283"/>
      <c r="S3" s="284"/>
      <c r="T3" s="99"/>
      <c r="U3" s="99"/>
      <c r="V3" s="99"/>
      <c r="W3" s="99"/>
      <c r="X3" s="99"/>
      <c r="Y3" s="99"/>
      <c r="Z3" s="99"/>
      <c r="AA3" s="99"/>
      <c r="AB3" s="99"/>
      <c r="AC3" s="99"/>
    </row>
    <row r="4" spans="1:29" ht="21.75" customHeight="1" thickBot="1">
      <c r="A4" s="99"/>
      <c r="B4" s="288" t="s">
        <v>15</v>
      </c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99"/>
      <c r="Q4" s="285"/>
      <c r="R4" s="286"/>
      <c r="S4" s="287"/>
      <c r="T4" s="99"/>
      <c r="U4" s="99"/>
      <c r="V4" s="99"/>
      <c r="W4" s="99"/>
      <c r="X4" s="99"/>
      <c r="Y4" s="99"/>
      <c r="Z4" s="99"/>
      <c r="AA4" s="99"/>
      <c r="AB4" s="99"/>
      <c r="AC4" s="99"/>
    </row>
    <row r="5" spans="1:29" ht="30" customHeight="1" thickBot="1">
      <c r="A5" s="99"/>
      <c r="B5" s="289" t="s">
        <v>4</v>
      </c>
      <c r="C5" s="290"/>
      <c r="D5" s="291" t="s">
        <v>1</v>
      </c>
      <c r="E5" s="291"/>
      <c r="F5" s="291" t="s">
        <v>5</v>
      </c>
      <c r="G5" s="291"/>
      <c r="H5" s="291" t="s">
        <v>6</v>
      </c>
      <c r="I5" s="291"/>
      <c r="J5" s="291" t="s">
        <v>2</v>
      </c>
      <c r="K5" s="291"/>
      <c r="L5" s="291" t="s">
        <v>3</v>
      </c>
      <c r="M5" s="291"/>
      <c r="N5" s="292" t="s">
        <v>7</v>
      </c>
      <c r="O5" s="293"/>
      <c r="P5" s="99"/>
      <c r="Q5" s="100"/>
      <c r="R5" s="100"/>
      <c r="S5" s="100"/>
      <c r="T5" s="99"/>
      <c r="U5" s="99"/>
      <c r="V5" s="99"/>
      <c r="W5" s="99"/>
      <c r="X5" s="99"/>
      <c r="Y5" s="224"/>
      <c r="Z5" s="224"/>
      <c r="AA5" s="224"/>
      <c r="AB5" s="99"/>
      <c r="AC5" s="99"/>
    </row>
    <row r="6" spans="1:29" ht="17.100000000000001" customHeight="1" thickBot="1">
      <c r="A6" s="118"/>
      <c r="B6" s="296">
        <v>1</v>
      </c>
      <c r="C6" s="296"/>
      <c r="D6" s="300">
        <f>B6+1</f>
        <v>2</v>
      </c>
      <c r="E6" s="297"/>
      <c r="F6" s="274">
        <f>D6+1</f>
        <v>3</v>
      </c>
      <c r="G6" s="275"/>
      <c r="H6" s="274">
        <f t="shared" ref="H6" si="0">F6+1</f>
        <v>4</v>
      </c>
      <c r="I6" s="275"/>
      <c r="J6" s="274">
        <f t="shared" ref="J6" si="1">H6+1</f>
        <v>5</v>
      </c>
      <c r="K6" s="275"/>
      <c r="L6" s="274">
        <f t="shared" ref="L6" si="2">J6+1</f>
        <v>6</v>
      </c>
      <c r="M6" s="275"/>
      <c r="N6" s="274">
        <f t="shared" ref="N6" si="3">L6+1</f>
        <v>7</v>
      </c>
      <c r="O6" s="459"/>
      <c r="P6" s="99"/>
      <c r="Q6" s="192" t="s">
        <v>39</v>
      </c>
      <c r="R6" s="417" t="s">
        <v>184</v>
      </c>
      <c r="S6" s="418"/>
      <c r="T6" s="102"/>
      <c r="U6" s="169" t="s">
        <v>39</v>
      </c>
      <c r="V6" s="460" t="s">
        <v>218</v>
      </c>
      <c r="W6" s="461"/>
      <c r="X6" s="99"/>
      <c r="Y6" s="138" t="s">
        <v>9</v>
      </c>
      <c r="Z6" s="125" t="s">
        <v>232</v>
      </c>
      <c r="AA6" s="126">
        <v>4</v>
      </c>
      <c r="AB6" s="99"/>
      <c r="AC6" s="99"/>
    </row>
    <row r="7" spans="1:29" ht="17.100000000000001" customHeight="1">
      <c r="A7" s="118"/>
      <c r="B7" s="311" t="s">
        <v>87</v>
      </c>
      <c r="C7" s="312"/>
      <c r="D7" s="311" t="s">
        <v>87</v>
      </c>
      <c r="E7" s="312"/>
      <c r="F7" s="311" t="s">
        <v>87</v>
      </c>
      <c r="G7" s="312"/>
      <c r="H7" s="311" t="s">
        <v>87</v>
      </c>
      <c r="I7" s="312"/>
      <c r="J7" s="430" t="s">
        <v>180</v>
      </c>
      <c r="K7" s="431"/>
      <c r="L7" s="127"/>
      <c r="M7" s="110"/>
      <c r="N7" s="109"/>
      <c r="O7" s="103"/>
      <c r="P7" s="99"/>
      <c r="Q7" s="159" t="s">
        <v>25</v>
      </c>
      <c r="R7" s="254" t="s">
        <v>26</v>
      </c>
      <c r="S7" s="255"/>
      <c r="T7" s="102"/>
      <c r="U7" s="159" t="s">
        <v>25</v>
      </c>
      <c r="V7" s="254" t="s">
        <v>26</v>
      </c>
      <c r="W7" s="255"/>
      <c r="X7" s="99"/>
      <c r="Y7" s="139"/>
      <c r="Z7" s="128" t="s">
        <v>240</v>
      </c>
      <c r="AA7" s="129">
        <v>4</v>
      </c>
      <c r="AB7" s="99"/>
      <c r="AC7" s="99"/>
    </row>
    <row r="8" spans="1:29" ht="17.100000000000001" customHeight="1">
      <c r="A8" s="99"/>
      <c r="B8" s="103"/>
      <c r="C8" s="103"/>
      <c r="D8" s="109"/>
      <c r="E8" s="110"/>
      <c r="F8" s="430" t="s">
        <v>180</v>
      </c>
      <c r="G8" s="431"/>
      <c r="H8" s="430" t="s">
        <v>180</v>
      </c>
      <c r="I8" s="431"/>
      <c r="J8" s="426" t="s">
        <v>49</v>
      </c>
      <c r="K8" s="427"/>
      <c r="L8" s="127"/>
      <c r="M8" s="110"/>
      <c r="N8" s="109"/>
      <c r="O8" s="103"/>
      <c r="P8" s="99"/>
      <c r="Q8" s="165" t="s">
        <v>27</v>
      </c>
      <c r="R8" s="268" t="s">
        <v>84</v>
      </c>
      <c r="S8" s="269"/>
      <c r="T8" s="102"/>
      <c r="U8" s="165" t="s">
        <v>27</v>
      </c>
      <c r="V8" s="268" t="s">
        <v>217</v>
      </c>
      <c r="W8" s="269"/>
      <c r="X8" s="99"/>
      <c r="Y8" s="139"/>
      <c r="Z8" s="128" t="s">
        <v>233</v>
      </c>
      <c r="AA8" s="129">
        <v>3</v>
      </c>
      <c r="AB8" s="99"/>
      <c r="AC8" s="99"/>
    </row>
    <row r="9" spans="1:29" ht="17.100000000000001" customHeight="1">
      <c r="A9" s="99"/>
      <c r="B9" s="103"/>
      <c r="C9" s="103"/>
      <c r="D9" s="109"/>
      <c r="E9" s="110"/>
      <c r="F9" s="426" t="s">
        <v>49</v>
      </c>
      <c r="G9" s="427"/>
      <c r="H9" s="426" t="s">
        <v>49</v>
      </c>
      <c r="I9" s="427"/>
      <c r="J9" s="351" t="s">
        <v>38</v>
      </c>
      <c r="K9" s="352"/>
      <c r="L9" s="109"/>
      <c r="M9" s="110"/>
      <c r="N9" s="109"/>
      <c r="O9" s="103"/>
      <c r="P9" s="99"/>
      <c r="Q9" s="165" t="s">
        <v>29</v>
      </c>
      <c r="R9" s="268" t="s">
        <v>30</v>
      </c>
      <c r="S9" s="269"/>
      <c r="T9" s="102"/>
      <c r="U9" s="165" t="s">
        <v>29</v>
      </c>
      <c r="V9" s="268" t="s">
        <v>30</v>
      </c>
      <c r="W9" s="269"/>
      <c r="X9" s="99"/>
      <c r="Y9" s="139"/>
      <c r="Z9" s="128" t="s">
        <v>234</v>
      </c>
      <c r="AA9" s="129">
        <v>2</v>
      </c>
      <c r="AB9" s="99"/>
      <c r="AC9" s="99"/>
    </row>
    <row r="10" spans="1:29" ht="17.100000000000001" customHeight="1">
      <c r="A10" s="99"/>
      <c r="B10" s="103"/>
      <c r="C10" s="103"/>
      <c r="D10" s="109"/>
      <c r="E10" s="110"/>
      <c r="F10" s="109"/>
      <c r="G10" s="110"/>
      <c r="H10" s="109"/>
      <c r="I10" s="110"/>
      <c r="J10" s="109"/>
      <c r="K10" s="110"/>
      <c r="L10" s="109"/>
      <c r="M10" s="110"/>
      <c r="N10" s="109"/>
      <c r="O10" s="103"/>
      <c r="P10" s="99"/>
      <c r="Q10" s="166" t="s">
        <v>43</v>
      </c>
      <c r="R10" s="258" t="s">
        <v>185</v>
      </c>
      <c r="S10" s="259"/>
      <c r="T10" s="102"/>
      <c r="U10" s="166" t="s">
        <v>43</v>
      </c>
      <c r="V10" s="258" t="s">
        <v>221</v>
      </c>
      <c r="W10" s="259"/>
      <c r="X10" s="99"/>
      <c r="Y10" s="139"/>
      <c r="Z10" s="128" t="s">
        <v>235</v>
      </c>
      <c r="AA10" s="129">
        <v>1</v>
      </c>
      <c r="AB10" s="99"/>
      <c r="AC10" s="99"/>
    </row>
    <row r="11" spans="1:29" ht="17.100000000000001" customHeight="1" thickBot="1">
      <c r="A11" s="99"/>
      <c r="B11" s="111"/>
      <c r="C11" s="111"/>
      <c r="D11" s="112"/>
      <c r="E11" s="113"/>
      <c r="F11" s="112"/>
      <c r="G11" s="113"/>
      <c r="H11" s="112"/>
      <c r="I11" s="113"/>
      <c r="J11" s="112"/>
      <c r="K11" s="113"/>
      <c r="L11" s="112"/>
      <c r="M11" s="113"/>
      <c r="N11" s="112"/>
      <c r="O11" s="111"/>
      <c r="P11" s="99"/>
      <c r="Q11" s="165" t="s">
        <v>32</v>
      </c>
      <c r="R11" s="321" t="s">
        <v>33</v>
      </c>
      <c r="S11" s="322"/>
      <c r="T11" s="102"/>
      <c r="U11" s="165" t="s">
        <v>32</v>
      </c>
      <c r="V11" s="321" t="s">
        <v>33</v>
      </c>
      <c r="W11" s="322"/>
      <c r="X11" s="99"/>
      <c r="Y11" s="139"/>
      <c r="Z11" s="140" t="s">
        <v>236</v>
      </c>
      <c r="AA11" s="129">
        <v>2</v>
      </c>
      <c r="AB11" s="99"/>
      <c r="AC11" s="99"/>
    </row>
    <row r="12" spans="1:29" ht="17.100000000000001" customHeight="1" thickBot="1">
      <c r="A12" s="99"/>
      <c r="B12" s="296">
        <f>N6+1</f>
        <v>8</v>
      </c>
      <c r="C12" s="297"/>
      <c r="D12" s="336">
        <f>B12+1</f>
        <v>9</v>
      </c>
      <c r="E12" s="337"/>
      <c r="F12" s="274">
        <f>D12+1</f>
        <v>10</v>
      </c>
      <c r="G12" s="275"/>
      <c r="H12" s="274">
        <f t="shared" ref="H12" si="4">F12+1</f>
        <v>11</v>
      </c>
      <c r="I12" s="275"/>
      <c r="J12" s="274">
        <f t="shared" ref="J12" si="5">H12+1</f>
        <v>12</v>
      </c>
      <c r="K12" s="275"/>
      <c r="L12" s="274">
        <f t="shared" ref="L12" si="6">J12+1</f>
        <v>13</v>
      </c>
      <c r="M12" s="275"/>
      <c r="N12" s="298">
        <f t="shared" ref="N12" si="7">L12+1</f>
        <v>14</v>
      </c>
      <c r="O12" s="299"/>
      <c r="P12" s="99"/>
      <c r="Q12" s="163" t="s">
        <v>45</v>
      </c>
      <c r="R12" s="381">
        <v>46086</v>
      </c>
      <c r="S12" s="265"/>
      <c r="T12" s="102"/>
      <c r="U12" s="163" t="s">
        <v>45</v>
      </c>
      <c r="V12" s="264">
        <v>46105</v>
      </c>
      <c r="W12" s="265"/>
      <c r="X12" s="99"/>
      <c r="Y12" s="139"/>
      <c r="Z12" s="141" t="s">
        <v>237</v>
      </c>
      <c r="AA12" s="132">
        <v>4</v>
      </c>
      <c r="AB12" s="99"/>
      <c r="AC12" s="99"/>
    </row>
    <row r="13" spans="1:29" ht="17.100000000000001" customHeight="1" thickBot="1">
      <c r="A13" s="99"/>
      <c r="B13" s="103"/>
      <c r="C13" s="103"/>
      <c r="D13" s="430" t="s">
        <v>180</v>
      </c>
      <c r="E13" s="431"/>
      <c r="F13" s="109"/>
      <c r="G13" s="110"/>
      <c r="H13" s="106"/>
      <c r="I13" s="116"/>
      <c r="J13" s="106"/>
      <c r="K13" s="116"/>
      <c r="L13" s="106"/>
      <c r="M13" s="116"/>
      <c r="N13" s="106"/>
      <c r="O13" s="107"/>
      <c r="P13" s="99"/>
      <c r="T13" s="102"/>
      <c r="U13" s="102"/>
      <c r="V13" s="455"/>
      <c r="W13" s="455"/>
      <c r="X13" s="99"/>
      <c r="Y13" s="139"/>
      <c r="Z13" s="140" t="s">
        <v>238</v>
      </c>
      <c r="AA13" s="129">
        <v>3</v>
      </c>
      <c r="AB13" s="99"/>
      <c r="AC13" s="99"/>
    </row>
    <row r="14" spans="1:29" ht="17.100000000000001" customHeight="1" thickBot="1">
      <c r="A14" s="99"/>
      <c r="B14" s="103"/>
      <c r="C14" s="103"/>
      <c r="D14" s="109"/>
      <c r="E14" s="110"/>
      <c r="F14" s="109"/>
      <c r="G14" s="110"/>
      <c r="H14" s="109"/>
      <c r="I14" s="110"/>
      <c r="J14" s="109"/>
      <c r="K14" s="110"/>
      <c r="L14" s="109"/>
      <c r="M14" s="110"/>
      <c r="N14" s="109"/>
      <c r="O14" s="103"/>
      <c r="P14" s="99"/>
      <c r="Q14" s="211" t="s">
        <v>143</v>
      </c>
      <c r="R14" s="440" t="s">
        <v>182</v>
      </c>
      <c r="S14" s="441"/>
      <c r="T14" s="102"/>
      <c r="U14" s="210" t="s">
        <v>39</v>
      </c>
      <c r="V14" s="371" t="s">
        <v>218</v>
      </c>
      <c r="W14" s="372"/>
      <c r="X14" s="99"/>
      <c r="Y14" s="133" t="s">
        <v>10</v>
      </c>
      <c r="Z14" s="334">
        <f>SUM(AA6:AA13)*88000</f>
        <v>2024000</v>
      </c>
      <c r="AA14" s="335"/>
      <c r="AB14" s="99"/>
      <c r="AC14" s="99"/>
    </row>
    <row r="15" spans="1:29" ht="17.100000000000001" customHeight="1">
      <c r="A15" s="99"/>
      <c r="B15" s="103"/>
      <c r="C15" s="103"/>
      <c r="D15" s="109"/>
      <c r="E15" s="110"/>
      <c r="F15" s="109"/>
      <c r="G15" s="110"/>
      <c r="H15" s="109"/>
      <c r="I15" s="110"/>
      <c r="J15" s="109"/>
      <c r="K15" s="110"/>
      <c r="L15" s="109"/>
      <c r="M15" s="110"/>
      <c r="N15" s="109"/>
      <c r="O15" s="103"/>
      <c r="P15" s="99"/>
      <c r="Q15" s="159" t="s">
        <v>25</v>
      </c>
      <c r="R15" s="254" t="s">
        <v>26</v>
      </c>
      <c r="S15" s="255"/>
      <c r="T15" s="102"/>
      <c r="U15" s="159" t="s">
        <v>25</v>
      </c>
      <c r="V15" s="254" t="s">
        <v>26</v>
      </c>
      <c r="W15" s="255"/>
      <c r="X15" s="99"/>
      <c r="Y15" s="99"/>
      <c r="Z15" s="99"/>
      <c r="AA15" s="99"/>
      <c r="AB15" s="99"/>
      <c r="AC15" s="99"/>
    </row>
    <row r="16" spans="1:29" ht="17.100000000000001" customHeight="1">
      <c r="A16" s="99"/>
      <c r="B16" s="103"/>
      <c r="C16" s="103"/>
      <c r="D16" s="109"/>
      <c r="E16" s="110"/>
      <c r="F16" s="109"/>
      <c r="G16" s="110"/>
      <c r="H16" s="109"/>
      <c r="I16" s="110"/>
      <c r="J16" s="109"/>
      <c r="K16" s="110"/>
      <c r="L16" s="109"/>
      <c r="M16" s="110"/>
      <c r="N16" s="109"/>
      <c r="O16" s="103"/>
      <c r="P16" s="99"/>
      <c r="Q16" s="165" t="s">
        <v>27</v>
      </c>
      <c r="R16" s="268" t="s">
        <v>186</v>
      </c>
      <c r="S16" s="269"/>
      <c r="T16" s="102"/>
      <c r="U16" s="165" t="s">
        <v>27</v>
      </c>
      <c r="V16" s="268" t="s">
        <v>220</v>
      </c>
      <c r="W16" s="269"/>
      <c r="X16" s="99"/>
      <c r="Y16" s="99"/>
      <c r="Z16" s="99"/>
      <c r="AA16" s="99"/>
      <c r="AB16" s="99"/>
      <c r="AC16" s="99"/>
    </row>
    <row r="17" spans="1:29" ht="17.100000000000001" customHeight="1">
      <c r="A17" s="99"/>
      <c r="B17" s="111"/>
      <c r="C17" s="111"/>
      <c r="D17" s="112"/>
      <c r="E17" s="113"/>
      <c r="F17" s="112"/>
      <c r="G17" s="113"/>
      <c r="H17" s="112"/>
      <c r="I17" s="113"/>
      <c r="J17" s="112"/>
      <c r="K17" s="113"/>
      <c r="L17" s="112"/>
      <c r="M17" s="113"/>
      <c r="N17" s="112"/>
      <c r="O17" s="111"/>
      <c r="P17" s="99"/>
      <c r="Q17" s="165" t="s">
        <v>29</v>
      </c>
      <c r="R17" s="268" t="s">
        <v>30</v>
      </c>
      <c r="S17" s="269"/>
      <c r="T17" s="102"/>
      <c r="U17" s="165" t="s">
        <v>29</v>
      </c>
      <c r="V17" s="268" t="s">
        <v>30</v>
      </c>
      <c r="W17" s="269"/>
      <c r="X17" s="99"/>
      <c r="Y17" s="99"/>
      <c r="Z17" s="99"/>
      <c r="AA17" s="99"/>
      <c r="AB17" s="99"/>
      <c r="AC17" s="99"/>
    </row>
    <row r="18" spans="1:29" ht="17.100000000000001" customHeight="1">
      <c r="A18" s="99"/>
      <c r="B18" s="296">
        <f>N12+1</f>
        <v>15</v>
      </c>
      <c r="C18" s="297"/>
      <c r="D18" s="274">
        <f>B18+1</f>
        <v>16</v>
      </c>
      <c r="E18" s="275"/>
      <c r="F18" s="274">
        <f>D18+1</f>
        <v>17</v>
      </c>
      <c r="G18" s="275"/>
      <c r="H18" s="274">
        <f t="shared" ref="H18" si="8">F18+1</f>
        <v>18</v>
      </c>
      <c r="I18" s="275"/>
      <c r="J18" s="274">
        <f t="shared" ref="J18" si="9">H18+1</f>
        <v>19</v>
      </c>
      <c r="K18" s="275"/>
      <c r="L18" s="274">
        <f t="shared" ref="L18" si="10">J18+1</f>
        <v>20</v>
      </c>
      <c r="M18" s="275"/>
      <c r="N18" s="298">
        <f t="shared" ref="N18" si="11">L18+1</f>
        <v>21</v>
      </c>
      <c r="O18" s="299"/>
      <c r="P18" s="99"/>
      <c r="Q18" s="166" t="s">
        <v>43</v>
      </c>
      <c r="R18" s="258" t="s">
        <v>187</v>
      </c>
      <c r="S18" s="259"/>
      <c r="T18" s="102"/>
      <c r="U18" s="166" t="s">
        <v>43</v>
      </c>
      <c r="V18" s="258" t="s">
        <v>219</v>
      </c>
      <c r="W18" s="259"/>
      <c r="X18" s="99"/>
      <c r="Y18" s="99"/>
      <c r="Z18" s="99"/>
      <c r="AA18" s="99"/>
      <c r="AB18" s="99"/>
      <c r="AC18" s="99"/>
    </row>
    <row r="19" spans="1:29" ht="17.100000000000001" customHeight="1" thickBot="1">
      <c r="A19" s="99"/>
      <c r="B19" s="107"/>
      <c r="C19" s="116"/>
      <c r="D19" s="294"/>
      <c r="E19" s="295"/>
      <c r="F19" s="294"/>
      <c r="G19" s="295"/>
      <c r="H19" s="343" t="s">
        <v>65</v>
      </c>
      <c r="I19" s="344"/>
      <c r="J19" s="362" t="s">
        <v>66</v>
      </c>
      <c r="K19" s="333"/>
      <c r="L19" s="106"/>
      <c r="M19" s="107"/>
      <c r="N19" s="106"/>
      <c r="O19" s="107"/>
      <c r="P19" s="99"/>
      <c r="Q19" s="166"/>
      <c r="R19" s="258" t="s">
        <v>216</v>
      </c>
      <c r="S19" s="259"/>
      <c r="T19" s="102"/>
      <c r="U19" s="165" t="s">
        <v>32</v>
      </c>
      <c r="V19" s="321" t="s">
        <v>33</v>
      </c>
      <c r="W19" s="322"/>
      <c r="X19" s="99"/>
      <c r="Y19" s="99"/>
      <c r="Z19" s="99"/>
      <c r="AA19" s="99"/>
      <c r="AB19" s="99"/>
      <c r="AC19" s="99"/>
    </row>
    <row r="20" spans="1:29" ht="17.100000000000001" customHeight="1" thickBot="1">
      <c r="A20" s="99"/>
      <c r="B20" s="103"/>
      <c r="C20" s="103"/>
      <c r="D20" s="294"/>
      <c r="E20" s="295"/>
      <c r="F20" s="294"/>
      <c r="G20" s="295"/>
      <c r="H20" s="362" t="s">
        <v>66</v>
      </c>
      <c r="I20" s="333"/>
      <c r="J20" s="309" t="s">
        <v>224</v>
      </c>
      <c r="K20" s="310"/>
      <c r="L20" s="104"/>
      <c r="M20" s="103"/>
      <c r="N20" s="109"/>
      <c r="O20" s="103"/>
      <c r="P20" s="99"/>
      <c r="Q20" s="165" t="s">
        <v>32</v>
      </c>
      <c r="R20" s="321" t="s">
        <v>33</v>
      </c>
      <c r="S20" s="322"/>
      <c r="T20" s="102"/>
      <c r="U20" s="163" t="s">
        <v>45</v>
      </c>
      <c r="V20" s="264">
        <v>46105</v>
      </c>
      <c r="W20" s="265"/>
      <c r="X20" s="99"/>
      <c r="Y20" s="99"/>
      <c r="Z20" s="99"/>
      <c r="AA20" s="99"/>
      <c r="AB20" s="99"/>
      <c r="AC20" s="99"/>
    </row>
    <row r="21" spans="1:29" ht="17.100000000000001" customHeight="1" thickBot="1">
      <c r="A21" s="99"/>
      <c r="B21" s="103"/>
      <c r="C21" s="103"/>
      <c r="D21" s="294"/>
      <c r="E21" s="295"/>
      <c r="F21" s="294"/>
      <c r="G21" s="295"/>
      <c r="H21" s="294"/>
      <c r="I21" s="295"/>
      <c r="J21" s="222"/>
      <c r="K21" s="110"/>
      <c r="L21" s="104"/>
      <c r="M21" s="110"/>
      <c r="N21" s="109"/>
      <c r="O21" s="103"/>
      <c r="P21" s="99"/>
      <c r="Q21" s="163" t="s">
        <v>45</v>
      </c>
      <c r="R21" s="381">
        <v>46093</v>
      </c>
      <c r="S21" s="265"/>
      <c r="T21" s="102"/>
      <c r="U21" s="102"/>
      <c r="V21" s="454"/>
      <c r="W21" s="454"/>
      <c r="X21" s="99"/>
      <c r="Y21" s="99"/>
      <c r="Z21" s="99"/>
      <c r="AA21" s="99"/>
      <c r="AB21" s="99"/>
      <c r="AC21" s="99"/>
    </row>
    <row r="22" spans="1:29" ht="17.100000000000001" customHeight="1" thickBot="1">
      <c r="A22" s="99"/>
      <c r="B22" s="103"/>
      <c r="C22" s="103"/>
      <c r="D22" s="104"/>
      <c r="E22" s="105"/>
      <c r="F22" s="104"/>
      <c r="G22" s="105"/>
      <c r="H22" s="294"/>
      <c r="I22" s="295"/>
      <c r="J22" s="104"/>
      <c r="K22" s="105"/>
      <c r="L22" s="104"/>
      <c r="M22" s="110"/>
      <c r="N22" s="109"/>
      <c r="O22" s="103"/>
      <c r="P22" s="99"/>
      <c r="Q22" s="102"/>
      <c r="R22" s="455"/>
      <c r="S22" s="455"/>
      <c r="T22" s="102"/>
      <c r="U22" s="168" t="s">
        <v>143</v>
      </c>
      <c r="V22" s="411" t="s">
        <v>222</v>
      </c>
      <c r="W22" s="412"/>
      <c r="X22" s="99"/>
      <c r="Y22" s="99"/>
      <c r="Z22" s="99"/>
      <c r="AA22" s="99"/>
      <c r="AB22" s="99"/>
      <c r="AC22" s="99"/>
    </row>
    <row r="23" spans="1:29" ht="17.100000000000001" customHeight="1" thickBot="1">
      <c r="A23" s="99"/>
      <c r="B23" s="111"/>
      <c r="C23" s="111"/>
      <c r="D23" s="119"/>
      <c r="E23" s="120"/>
      <c r="F23" s="119"/>
      <c r="G23" s="120"/>
      <c r="H23" s="119"/>
      <c r="I23" s="120"/>
      <c r="J23" s="119"/>
      <c r="K23" s="120"/>
      <c r="L23" s="119"/>
      <c r="M23" s="113"/>
      <c r="N23" s="112"/>
      <c r="O23" s="111"/>
      <c r="P23" s="99"/>
      <c r="Q23" s="212" t="s">
        <v>143</v>
      </c>
      <c r="R23" s="456" t="s">
        <v>181</v>
      </c>
      <c r="S23" s="457"/>
      <c r="T23" s="102"/>
      <c r="U23" s="159" t="s">
        <v>25</v>
      </c>
      <c r="V23" s="254" t="s">
        <v>26</v>
      </c>
      <c r="W23" s="255"/>
      <c r="X23" s="99"/>
      <c r="AB23" s="99"/>
      <c r="AC23" s="99"/>
    </row>
    <row r="24" spans="1:29" ht="17.100000000000001" customHeight="1">
      <c r="A24" s="99"/>
      <c r="B24" s="296">
        <f>N18+1</f>
        <v>22</v>
      </c>
      <c r="C24" s="297"/>
      <c r="D24" s="274">
        <f>B24+1</f>
        <v>23</v>
      </c>
      <c r="E24" s="275"/>
      <c r="F24" s="274">
        <f>D24+1</f>
        <v>24</v>
      </c>
      <c r="G24" s="275"/>
      <c r="H24" s="274">
        <f t="shared" ref="H24" si="12">F24+1</f>
        <v>25</v>
      </c>
      <c r="I24" s="275"/>
      <c r="J24" s="274">
        <f t="shared" ref="J24" si="13">H24+1</f>
        <v>26</v>
      </c>
      <c r="K24" s="275"/>
      <c r="L24" s="274">
        <f t="shared" ref="L24" si="14">J24+1</f>
        <v>27</v>
      </c>
      <c r="M24" s="275"/>
      <c r="N24" s="298">
        <f t="shared" ref="N24" si="15">L24+1</f>
        <v>28</v>
      </c>
      <c r="O24" s="299"/>
      <c r="P24" s="99"/>
      <c r="Q24" s="159" t="s">
        <v>25</v>
      </c>
      <c r="R24" s="254" t="s">
        <v>26</v>
      </c>
      <c r="S24" s="255"/>
      <c r="T24" s="102"/>
      <c r="U24" s="165" t="s">
        <v>27</v>
      </c>
      <c r="V24" s="268" t="s">
        <v>144</v>
      </c>
      <c r="W24" s="269"/>
      <c r="X24" s="99"/>
      <c r="AB24" s="99"/>
      <c r="AC24" s="99"/>
    </row>
    <row r="25" spans="1:29" ht="17.100000000000001" customHeight="1">
      <c r="A25" s="99"/>
      <c r="B25" s="107"/>
      <c r="C25" s="116"/>
      <c r="D25" s="309" t="s">
        <v>224</v>
      </c>
      <c r="E25" s="310"/>
      <c r="F25" s="294"/>
      <c r="G25" s="295"/>
      <c r="H25" s="294"/>
      <c r="I25" s="295"/>
      <c r="J25" s="351" t="s">
        <v>38</v>
      </c>
      <c r="K25" s="352"/>
      <c r="L25" s="294"/>
      <c r="M25" s="295"/>
      <c r="N25" s="106"/>
      <c r="O25" s="107"/>
      <c r="P25" s="99"/>
      <c r="Q25" s="165" t="s">
        <v>27</v>
      </c>
      <c r="R25" s="268" t="s">
        <v>188</v>
      </c>
      <c r="S25" s="269"/>
      <c r="T25" s="102"/>
      <c r="U25" s="165" t="s">
        <v>29</v>
      </c>
      <c r="V25" s="268" t="s">
        <v>30</v>
      </c>
      <c r="W25" s="269"/>
      <c r="X25" s="99"/>
      <c r="AB25" s="99"/>
      <c r="AC25" s="99"/>
    </row>
    <row r="26" spans="1:29" ht="17.100000000000001" customHeight="1">
      <c r="A26" s="99"/>
      <c r="B26" s="103"/>
      <c r="C26" s="103"/>
      <c r="D26" s="294"/>
      <c r="E26" s="295"/>
      <c r="F26" s="294"/>
      <c r="G26" s="295"/>
      <c r="H26" s="104"/>
      <c r="I26" s="108"/>
      <c r="J26" s="294"/>
      <c r="K26" s="295"/>
      <c r="L26" s="104"/>
      <c r="M26" s="108"/>
      <c r="N26" s="104"/>
      <c r="O26" s="103"/>
      <c r="P26" s="99"/>
      <c r="Q26" s="165" t="s">
        <v>29</v>
      </c>
      <c r="R26" s="268" t="s">
        <v>30</v>
      </c>
      <c r="S26" s="269"/>
      <c r="T26" s="102"/>
      <c r="U26" s="166" t="s">
        <v>43</v>
      </c>
      <c r="V26" s="258" t="s">
        <v>223</v>
      </c>
      <c r="W26" s="259"/>
      <c r="X26" s="99"/>
      <c r="AB26" s="99"/>
      <c r="AC26" s="99"/>
    </row>
    <row r="27" spans="1:29" ht="17.100000000000001" customHeight="1">
      <c r="A27" s="99"/>
      <c r="B27" s="103"/>
      <c r="C27" s="103"/>
      <c r="D27" s="294"/>
      <c r="E27" s="295"/>
      <c r="F27" s="294"/>
      <c r="G27" s="295"/>
      <c r="H27" s="104"/>
      <c r="I27" s="105"/>
      <c r="J27" s="294"/>
      <c r="K27" s="295"/>
      <c r="L27" s="104"/>
      <c r="M27" s="108"/>
      <c r="N27" s="104"/>
      <c r="O27" s="103"/>
      <c r="P27" s="99"/>
      <c r="Q27" s="166" t="s">
        <v>43</v>
      </c>
      <c r="R27" s="258" t="s">
        <v>239</v>
      </c>
      <c r="S27" s="259"/>
      <c r="T27" s="102"/>
      <c r="U27" s="166"/>
      <c r="V27" s="258" t="s">
        <v>225</v>
      </c>
      <c r="W27" s="259"/>
      <c r="X27" s="99"/>
      <c r="AB27" s="99"/>
      <c r="AC27" s="99"/>
    </row>
    <row r="28" spans="1:29" ht="17.100000000000001" customHeight="1" thickBot="1">
      <c r="A28" s="99"/>
      <c r="B28" s="103"/>
      <c r="C28" s="103"/>
      <c r="D28" s="104"/>
      <c r="E28" s="105"/>
      <c r="F28" s="104"/>
      <c r="G28" s="105"/>
      <c r="H28" s="104"/>
      <c r="I28" s="105"/>
      <c r="J28" s="104"/>
      <c r="K28" s="105"/>
      <c r="L28" s="104"/>
      <c r="M28" s="108"/>
      <c r="N28" s="104"/>
      <c r="O28" s="103"/>
      <c r="P28" s="99"/>
      <c r="Q28" s="165" t="s">
        <v>32</v>
      </c>
      <c r="R28" s="321" t="s">
        <v>33</v>
      </c>
      <c r="S28" s="322"/>
      <c r="T28" s="102"/>
      <c r="U28" s="166"/>
      <c r="V28" s="258" t="s">
        <v>231</v>
      </c>
      <c r="W28" s="259"/>
      <c r="X28" s="99"/>
      <c r="AB28" s="99"/>
      <c r="AC28" s="99"/>
    </row>
    <row r="29" spans="1:29" ht="17.100000000000001" customHeight="1" thickBot="1">
      <c r="A29" s="99"/>
      <c r="B29" s="111"/>
      <c r="C29" s="111"/>
      <c r="D29" s="112"/>
      <c r="E29" s="113"/>
      <c r="F29" s="112"/>
      <c r="G29" s="113"/>
      <c r="H29" s="112"/>
      <c r="I29" s="113"/>
      <c r="J29" s="112"/>
      <c r="K29" s="113"/>
      <c r="L29" s="112"/>
      <c r="M29" s="113"/>
      <c r="N29" s="112"/>
      <c r="O29" s="111"/>
      <c r="P29" s="99"/>
      <c r="Q29" s="163" t="s">
        <v>45</v>
      </c>
      <c r="R29" s="381">
        <v>46091</v>
      </c>
      <c r="S29" s="265"/>
      <c r="T29" s="102"/>
      <c r="U29" s="165" t="s">
        <v>32</v>
      </c>
      <c r="V29" s="321" t="s">
        <v>145</v>
      </c>
      <c r="W29" s="322"/>
      <c r="X29" s="99"/>
      <c r="AB29" s="99"/>
      <c r="AC29" s="99"/>
    </row>
    <row r="30" spans="1:29" ht="17.100000000000001" customHeight="1" thickBot="1">
      <c r="A30" s="99"/>
      <c r="B30" s="296">
        <f>N24+1</f>
        <v>29</v>
      </c>
      <c r="C30" s="297"/>
      <c r="D30" s="274">
        <f>B30+1</f>
        <v>30</v>
      </c>
      <c r="E30" s="275"/>
      <c r="F30" s="274">
        <f>D30+1</f>
        <v>31</v>
      </c>
      <c r="G30" s="275"/>
      <c r="H30" s="278"/>
      <c r="I30" s="277"/>
      <c r="J30" s="278"/>
      <c r="K30" s="277"/>
      <c r="L30" s="278"/>
      <c r="M30" s="277"/>
      <c r="N30" s="278"/>
      <c r="O30" s="276"/>
      <c r="P30" s="99"/>
      <c r="Q30" s="102"/>
      <c r="R30" s="455"/>
      <c r="S30" s="455"/>
      <c r="T30" s="102"/>
      <c r="U30" s="163" t="s">
        <v>45</v>
      </c>
      <c r="V30" s="381">
        <v>46125</v>
      </c>
      <c r="W30" s="265"/>
      <c r="X30" s="99"/>
      <c r="AB30" s="99"/>
      <c r="AC30" s="99"/>
    </row>
    <row r="31" spans="1:29" ht="17.100000000000001" customHeight="1" thickBot="1">
      <c r="A31" s="118"/>
      <c r="B31" s="323" t="s">
        <v>226</v>
      </c>
      <c r="C31" s="316"/>
      <c r="D31" s="323" t="s">
        <v>226</v>
      </c>
      <c r="E31" s="316"/>
      <c r="F31" s="323" t="s">
        <v>226</v>
      </c>
      <c r="G31" s="316"/>
      <c r="H31" s="294"/>
      <c r="I31" s="295"/>
      <c r="J31" s="294"/>
      <c r="K31" s="295"/>
      <c r="L31" s="109"/>
      <c r="M31" s="103"/>
      <c r="N31" s="109"/>
      <c r="O31" s="103"/>
      <c r="P31" s="99"/>
      <c r="Q31" s="164" t="s">
        <v>24</v>
      </c>
      <c r="R31" s="347"/>
      <c r="S31" s="348"/>
      <c r="T31" s="102"/>
      <c r="U31" s="102"/>
      <c r="V31" s="454"/>
      <c r="W31" s="454"/>
      <c r="X31" s="99"/>
      <c r="AB31" s="99"/>
      <c r="AC31" s="99"/>
    </row>
    <row r="32" spans="1:29" ht="17.100000000000001" customHeight="1" thickBot="1">
      <c r="A32" s="118"/>
      <c r="B32" s="103"/>
      <c r="C32" s="110"/>
      <c r="D32" s="309" t="s">
        <v>224</v>
      </c>
      <c r="E32" s="310"/>
      <c r="F32" s="309" t="s">
        <v>224</v>
      </c>
      <c r="G32" s="310"/>
      <c r="H32" s="104"/>
      <c r="I32" s="105"/>
      <c r="J32" s="104"/>
      <c r="K32" s="105"/>
      <c r="L32" s="109"/>
      <c r="M32" s="110"/>
      <c r="N32" s="109"/>
      <c r="O32" s="103"/>
      <c r="P32" s="99"/>
      <c r="Q32" s="159" t="s">
        <v>25</v>
      </c>
      <c r="R32" s="254" t="s">
        <v>26</v>
      </c>
      <c r="S32" s="255"/>
      <c r="T32" s="102"/>
      <c r="U32" s="167" t="s">
        <v>39</v>
      </c>
      <c r="V32" s="266" t="s">
        <v>228</v>
      </c>
      <c r="W32" s="267"/>
      <c r="X32" s="99"/>
      <c r="AB32" s="99"/>
      <c r="AC32" s="99"/>
    </row>
    <row r="33" spans="1:29" ht="17.100000000000001" customHeight="1">
      <c r="A33" s="99"/>
      <c r="B33" s="103"/>
      <c r="C33" s="103"/>
      <c r="D33" s="109"/>
      <c r="E33" s="105"/>
      <c r="F33" s="104"/>
      <c r="G33" s="105"/>
      <c r="H33" s="104"/>
      <c r="I33" s="105"/>
      <c r="J33" s="104"/>
      <c r="K33" s="105"/>
      <c r="L33" s="109"/>
      <c r="M33" s="110"/>
      <c r="N33" s="109"/>
      <c r="O33" s="103"/>
      <c r="P33" s="99"/>
      <c r="Q33" s="160" t="s">
        <v>27</v>
      </c>
      <c r="R33" s="256" t="s">
        <v>35</v>
      </c>
      <c r="S33" s="257"/>
      <c r="T33" s="102"/>
      <c r="U33" s="159" t="s">
        <v>25</v>
      </c>
      <c r="V33" s="254" t="s">
        <v>26</v>
      </c>
      <c r="W33" s="255"/>
      <c r="X33" s="99"/>
      <c r="AB33" s="99"/>
      <c r="AC33" s="99"/>
    </row>
    <row r="34" spans="1:29" ht="17.100000000000001" customHeight="1">
      <c r="A34" s="99"/>
      <c r="B34" s="103"/>
      <c r="C34" s="103"/>
      <c r="D34" s="109"/>
      <c r="E34" s="105"/>
      <c r="F34" s="104"/>
      <c r="G34" s="105"/>
      <c r="H34" s="104"/>
      <c r="I34" s="105"/>
      <c r="J34" s="104"/>
      <c r="K34" s="105"/>
      <c r="L34" s="109"/>
      <c r="M34" s="110"/>
      <c r="N34" s="109"/>
      <c r="O34" s="103"/>
      <c r="P34" s="99"/>
      <c r="Q34" s="160" t="s">
        <v>29</v>
      </c>
      <c r="R34" s="256" t="s">
        <v>30</v>
      </c>
      <c r="S34" s="257"/>
      <c r="T34" s="102"/>
      <c r="U34" s="165" t="s">
        <v>27</v>
      </c>
      <c r="V34" s="268" t="s">
        <v>227</v>
      </c>
      <c r="W34" s="269"/>
      <c r="X34" s="99"/>
      <c r="Y34" s="99"/>
      <c r="Z34" s="99"/>
      <c r="AA34" s="99"/>
      <c r="AB34" s="99"/>
      <c r="AC34" s="99"/>
    </row>
    <row r="35" spans="1:29" ht="17.100000000000001" customHeight="1">
      <c r="A35" s="99"/>
      <c r="B35" s="111"/>
      <c r="C35" s="111"/>
      <c r="D35" s="112"/>
      <c r="E35" s="113"/>
      <c r="F35" s="112"/>
      <c r="G35" s="113"/>
      <c r="H35" s="112"/>
      <c r="I35" s="113"/>
      <c r="J35" s="112"/>
      <c r="K35" s="113"/>
      <c r="L35" s="112"/>
      <c r="M35" s="113"/>
      <c r="N35" s="112"/>
      <c r="O35" s="111"/>
      <c r="P35" s="99"/>
      <c r="Q35" s="161" t="s">
        <v>31</v>
      </c>
      <c r="R35" s="258" t="s">
        <v>215</v>
      </c>
      <c r="S35" s="259"/>
      <c r="T35" s="102"/>
      <c r="U35" s="165" t="s">
        <v>29</v>
      </c>
      <c r="V35" s="268" t="s">
        <v>30</v>
      </c>
      <c r="W35" s="269"/>
      <c r="X35" s="99"/>
      <c r="Y35" s="99"/>
      <c r="Z35" s="99"/>
      <c r="AA35" s="99"/>
      <c r="AB35" s="99"/>
      <c r="AC35" s="99"/>
    </row>
    <row r="36" spans="1:29" ht="17.100000000000001" customHeight="1">
      <c r="A36" s="118"/>
      <c r="B36" s="276"/>
      <c r="C36" s="277"/>
      <c r="D36" s="278"/>
      <c r="E36" s="277"/>
      <c r="F36" s="278"/>
      <c r="G36" s="277"/>
      <c r="H36" s="303"/>
      <c r="I36" s="304"/>
      <c r="J36" s="303"/>
      <c r="K36" s="304"/>
      <c r="L36" s="303"/>
      <c r="M36" s="304"/>
      <c r="N36" s="303"/>
      <c r="O36" s="377"/>
      <c r="P36" s="99"/>
      <c r="Q36" s="193"/>
      <c r="R36" s="258" t="s">
        <v>230</v>
      </c>
      <c r="S36" s="259"/>
      <c r="T36" s="102"/>
      <c r="U36" s="166" t="s">
        <v>43</v>
      </c>
      <c r="V36" s="258" t="s">
        <v>229</v>
      </c>
      <c r="W36" s="259"/>
      <c r="X36" s="99"/>
      <c r="Y36" s="99"/>
      <c r="Z36" s="99"/>
      <c r="AA36" s="99"/>
      <c r="AB36" s="99"/>
      <c r="AC36" s="99"/>
    </row>
    <row r="37" spans="1:29" ht="17.100000000000001" customHeight="1" thickBot="1">
      <c r="A37" s="118"/>
      <c r="B37" s="103"/>
      <c r="C37" s="103"/>
      <c r="D37" s="294"/>
      <c r="E37" s="295"/>
      <c r="F37" s="109"/>
      <c r="G37" s="110"/>
      <c r="H37" s="109"/>
      <c r="I37" s="110"/>
      <c r="J37" s="109"/>
      <c r="K37" s="110"/>
      <c r="L37" s="109"/>
      <c r="M37" s="110"/>
      <c r="N37" s="109"/>
      <c r="O37" s="103"/>
      <c r="P37" s="99"/>
      <c r="Q37" s="162" t="s">
        <v>32</v>
      </c>
      <c r="R37" s="260" t="s">
        <v>33</v>
      </c>
      <c r="S37" s="261"/>
      <c r="T37" s="102"/>
      <c r="U37" s="165" t="s">
        <v>32</v>
      </c>
      <c r="V37" s="321" t="s">
        <v>33</v>
      </c>
      <c r="W37" s="322"/>
      <c r="X37" s="99"/>
      <c r="Y37" s="99"/>
      <c r="Z37" s="99"/>
      <c r="AA37" s="99"/>
      <c r="AB37" s="99"/>
      <c r="AC37" s="99"/>
    </row>
    <row r="38" spans="1:29" ht="17.100000000000001" customHeight="1" thickBot="1">
      <c r="A38" s="99"/>
      <c r="B38" s="103"/>
      <c r="C38" s="103"/>
      <c r="D38" s="294"/>
      <c r="E38" s="295"/>
      <c r="F38" s="109"/>
      <c r="G38" s="110"/>
      <c r="H38" s="109"/>
      <c r="I38" s="110"/>
      <c r="J38" s="109"/>
      <c r="K38" s="110"/>
      <c r="L38" s="109"/>
      <c r="M38" s="110"/>
      <c r="N38" s="109"/>
      <c r="O38" s="103"/>
      <c r="P38" s="99"/>
      <c r="Q38" s="102"/>
      <c r="R38" s="458"/>
      <c r="S38" s="458"/>
      <c r="T38" s="102"/>
      <c r="U38" s="163" t="s">
        <v>45</v>
      </c>
      <c r="V38" s="264">
        <v>46119</v>
      </c>
      <c r="W38" s="265"/>
      <c r="X38" s="99"/>
      <c r="Y38" s="99"/>
      <c r="Z38" s="99"/>
      <c r="AA38" s="99"/>
      <c r="AB38" s="99"/>
      <c r="AC38" s="99"/>
    </row>
    <row r="39" spans="1:29" ht="17.100000000000001" customHeight="1">
      <c r="A39" s="99"/>
      <c r="B39" s="135"/>
      <c r="C39" s="135"/>
      <c r="D39" s="136"/>
      <c r="E39" s="137"/>
      <c r="F39" s="136"/>
      <c r="G39" s="137"/>
      <c r="H39" s="136"/>
      <c r="I39" s="137"/>
      <c r="J39" s="136"/>
      <c r="K39" s="137"/>
      <c r="L39" s="136"/>
      <c r="M39" s="137"/>
      <c r="N39" s="136"/>
      <c r="O39" s="135"/>
      <c r="P39" s="99"/>
      <c r="Q39" s="102"/>
      <c r="R39" s="454"/>
      <c r="S39" s="454"/>
      <c r="T39" s="102"/>
      <c r="U39" s="102"/>
      <c r="V39" s="454"/>
      <c r="W39" s="454"/>
      <c r="X39" s="99"/>
      <c r="Y39" s="99"/>
      <c r="Z39" s="99"/>
      <c r="AA39" s="99"/>
      <c r="AB39" s="99"/>
      <c r="AC39" s="99"/>
    </row>
    <row r="40" spans="1:29" ht="17.100000000000001" customHeight="1">
      <c r="A40" s="99"/>
      <c r="B40" s="135"/>
      <c r="C40" s="135"/>
      <c r="D40" s="136"/>
      <c r="E40" s="137"/>
      <c r="F40" s="136"/>
      <c r="G40" s="137"/>
      <c r="H40" s="136"/>
      <c r="I40" s="137"/>
      <c r="J40" s="136"/>
      <c r="K40" s="137"/>
      <c r="L40" s="136"/>
      <c r="M40" s="137"/>
      <c r="N40" s="136"/>
      <c r="O40" s="135"/>
      <c r="P40" s="99"/>
      <c r="Q40" s="102"/>
      <c r="R40" s="455"/>
      <c r="S40" s="455"/>
      <c r="T40" s="102"/>
      <c r="U40" s="102"/>
      <c r="V40" s="455"/>
      <c r="W40" s="455"/>
      <c r="X40" s="99"/>
      <c r="Y40" s="99"/>
      <c r="Z40" s="99"/>
      <c r="AA40" s="99"/>
      <c r="AB40" s="99"/>
      <c r="AC40" s="99"/>
    </row>
    <row r="41" spans="1:29" ht="17.100000000000001" customHeight="1">
      <c r="A41" s="99"/>
      <c r="B41" s="111"/>
      <c r="C41" s="111"/>
      <c r="D41" s="112"/>
      <c r="E41" s="113"/>
      <c r="F41" s="112"/>
      <c r="G41" s="113"/>
      <c r="H41" s="112"/>
      <c r="I41" s="113"/>
      <c r="J41" s="112"/>
      <c r="K41" s="113"/>
      <c r="L41" s="112"/>
      <c r="M41" s="113"/>
      <c r="N41" s="112"/>
      <c r="O41" s="111"/>
      <c r="P41" s="99"/>
      <c r="Q41" s="102"/>
      <c r="R41" s="102"/>
      <c r="S41" s="102"/>
      <c r="T41" s="99"/>
      <c r="U41" s="102"/>
      <c r="V41" s="102"/>
      <c r="W41" s="102"/>
      <c r="X41" s="99"/>
      <c r="AB41" s="99"/>
      <c r="AC41" s="99"/>
    </row>
    <row r="42" spans="1:29" ht="17.25" thickBot="1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2"/>
      <c r="V42" s="102"/>
      <c r="W42" s="102"/>
      <c r="X42" s="99"/>
      <c r="AB42" s="99"/>
      <c r="AC42" s="99"/>
    </row>
    <row r="43" spans="1:29" ht="17.25">
      <c r="B43" s="397" t="s">
        <v>127</v>
      </c>
      <c r="C43" s="398"/>
      <c r="D43" s="397" t="s">
        <v>128</v>
      </c>
      <c r="E43" s="399"/>
      <c r="F43" s="399" t="s">
        <v>129</v>
      </c>
      <c r="G43" s="399"/>
      <c r="H43" s="399" t="s">
        <v>130</v>
      </c>
      <c r="I43" s="399"/>
      <c r="J43" s="399" t="s">
        <v>131</v>
      </c>
      <c r="K43" s="399"/>
      <c r="L43" s="399" t="s">
        <v>132</v>
      </c>
      <c r="M43" s="399"/>
      <c r="N43" s="399" t="s">
        <v>133</v>
      </c>
      <c r="O43" s="398"/>
      <c r="Q43" s="99"/>
      <c r="R43" s="99"/>
      <c r="S43" s="99"/>
      <c r="U43" s="99"/>
      <c r="V43" s="99"/>
      <c r="W43" s="99"/>
    </row>
    <row r="44" spans="1:29" ht="18" thickBot="1">
      <c r="B44" s="400" t="s">
        <v>134</v>
      </c>
      <c r="C44" s="401"/>
      <c r="D44" s="402" t="s">
        <v>142</v>
      </c>
      <c r="E44" s="403"/>
      <c r="F44" s="404" t="s">
        <v>214</v>
      </c>
      <c r="G44" s="404"/>
      <c r="H44" s="404" t="s">
        <v>241</v>
      </c>
      <c r="I44" s="404"/>
      <c r="J44" s="404"/>
      <c r="K44" s="404"/>
      <c r="L44" s="404"/>
      <c r="M44" s="404"/>
      <c r="N44" s="404"/>
      <c r="O44" s="405"/>
      <c r="U44" s="99"/>
      <c r="V44" s="99"/>
      <c r="W44" s="99"/>
    </row>
    <row r="45" spans="1:29" ht="18" thickBot="1">
      <c r="B45" s="406" t="s">
        <v>135</v>
      </c>
      <c r="C45" s="407"/>
      <c r="D45" s="408">
        <v>4950000</v>
      </c>
      <c r="E45" s="409"/>
      <c r="F45" s="410">
        <v>3300000</v>
      </c>
      <c r="G45" s="409"/>
      <c r="H45" s="410">
        <v>2024000</v>
      </c>
      <c r="I45" s="409"/>
      <c r="J45" s="410"/>
      <c r="K45" s="409"/>
      <c r="L45" s="410"/>
      <c r="M45" s="409"/>
      <c r="N45" s="410"/>
      <c r="O45" s="407"/>
    </row>
    <row r="46" spans="1:29" ht="18" thickBot="1"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</row>
    <row r="47" spans="1:29" ht="17.25">
      <c r="B47" s="397" t="s">
        <v>127</v>
      </c>
      <c r="C47" s="398"/>
      <c r="D47" s="397" t="s">
        <v>136</v>
      </c>
      <c r="E47" s="399"/>
      <c r="F47" s="399" t="s">
        <v>137</v>
      </c>
      <c r="G47" s="399"/>
      <c r="H47" s="399" t="s">
        <v>138</v>
      </c>
      <c r="I47" s="399"/>
      <c r="J47" s="399" t="s">
        <v>139</v>
      </c>
      <c r="K47" s="399"/>
      <c r="L47" s="399" t="s">
        <v>140</v>
      </c>
      <c r="M47" s="399"/>
      <c r="N47" s="399" t="s">
        <v>141</v>
      </c>
      <c r="O47" s="398"/>
    </row>
    <row r="48" spans="1:29" ht="18" thickBot="1">
      <c r="B48" s="400" t="s">
        <v>134</v>
      </c>
      <c r="C48" s="401"/>
      <c r="D48" s="402"/>
      <c r="E48" s="403"/>
      <c r="F48" s="404"/>
      <c r="G48" s="404"/>
      <c r="H48" s="404"/>
      <c r="I48" s="404"/>
      <c r="J48" s="404"/>
      <c r="K48" s="404"/>
      <c r="L48" s="404"/>
      <c r="M48" s="404"/>
      <c r="N48" s="404"/>
      <c r="O48" s="405"/>
    </row>
    <row r="49" spans="2:15" ht="18" thickBot="1">
      <c r="B49" s="406" t="s">
        <v>135</v>
      </c>
      <c r="C49" s="407"/>
      <c r="D49" s="408"/>
      <c r="E49" s="409"/>
      <c r="F49" s="410"/>
      <c r="G49" s="409"/>
      <c r="H49" s="410"/>
      <c r="I49" s="409"/>
      <c r="J49" s="410"/>
      <c r="K49" s="409"/>
      <c r="L49" s="410"/>
      <c r="M49" s="409"/>
      <c r="N49" s="410"/>
      <c r="O49" s="407"/>
    </row>
  </sheetData>
  <mergeCells count="209">
    <mergeCell ref="N6:O6"/>
    <mergeCell ref="N12:O12"/>
    <mergeCell ref="L12:M12"/>
    <mergeCell ref="V17:W17"/>
    <mergeCell ref="V20:W20"/>
    <mergeCell ref="V18:W18"/>
    <mergeCell ref="V19:W19"/>
    <mergeCell ref="V6:W6"/>
    <mergeCell ref="V7:W7"/>
    <mergeCell ref="V8:W8"/>
    <mergeCell ref="V15:W15"/>
    <mergeCell ref="R14:S14"/>
    <mergeCell ref="R15:S15"/>
    <mergeCell ref="V14:W14"/>
    <mergeCell ref="R6:S6"/>
    <mergeCell ref="V13:W13"/>
    <mergeCell ref="L18:M18"/>
    <mergeCell ref="L6:M6"/>
    <mergeCell ref="V9:W9"/>
    <mergeCell ref="V10:W10"/>
    <mergeCell ref="V11:W11"/>
    <mergeCell ref="V12:W12"/>
    <mergeCell ref="R7:S7"/>
    <mergeCell ref="R8:S8"/>
    <mergeCell ref="D37:E37"/>
    <mergeCell ref="D38:E38"/>
    <mergeCell ref="R38:S38"/>
    <mergeCell ref="V30:W30"/>
    <mergeCell ref="F27:G27"/>
    <mergeCell ref="D27:E27"/>
    <mergeCell ref="D25:E25"/>
    <mergeCell ref="F25:G25"/>
    <mergeCell ref="D26:E26"/>
    <mergeCell ref="F26:G26"/>
    <mergeCell ref="J25:K25"/>
    <mergeCell ref="H25:I25"/>
    <mergeCell ref="J26:K26"/>
    <mergeCell ref="J27:K27"/>
    <mergeCell ref="R32:S32"/>
    <mergeCell ref="R33:S33"/>
    <mergeCell ref="R34:S34"/>
    <mergeCell ref="R35:S35"/>
    <mergeCell ref="R36:S36"/>
    <mergeCell ref="L25:M25"/>
    <mergeCell ref="B36:C36"/>
    <mergeCell ref="D36:E36"/>
    <mergeCell ref="F36:G36"/>
    <mergeCell ref="H36:I36"/>
    <mergeCell ref="J36:K36"/>
    <mergeCell ref="L36:M36"/>
    <mergeCell ref="N36:O36"/>
    <mergeCell ref="N30:O30"/>
    <mergeCell ref="L30:M30"/>
    <mergeCell ref="B30:C30"/>
    <mergeCell ref="D30:E30"/>
    <mergeCell ref="F30:G30"/>
    <mergeCell ref="H30:I30"/>
    <mergeCell ref="J30:K30"/>
    <mergeCell ref="H31:I31"/>
    <mergeCell ref="B31:C31"/>
    <mergeCell ref="D31:E31"/>
    <mergeCell ref="F31:G31"/>
    <mergeCell ref="D32:E32"/>
    <mergeCell ref="F32:G32"/>
    <mergeCell ref="V40:W40"/>
    <mergeCell ref="V39:W39"/>
    <mergeCell ref="V27:W27"/>
    <mergeCell ref="V37:W37"/>
    <mergeCell ref="V38:W38"/>
    <mergeCell ref="V36:W36"/>
    <mergeCell ref="V31:W31"/>
    <mergeCell ref="R31:S31"/>
    <mergeCell ref="R30:S30"/>
    <mergeCell ref="V34:W34"/>
    <mergeCell ref="V35:W35"/>
    <mergeCell ref="R40:S40"/>
    <mergeCell ref="R37:S37"/>
    <mergeCell ref="R39:S39"/>
    <mergeCell ref="V32:W32"/>
    <mergeCell ref="V33:W33"/>
    <mergeCell ref="B2:O3"/>
    <mergeCell ref="Q2:S2"/>
    <mergeCell ref="Q3:S4"/>
    <mergeCell ref="B4:O4"/>
    <mergeCell ref="B5:C5"/>
    <mergeCell ref="D5:E5"/>
    <mergeCell ref="F5:G5"/>
    <mergeCell ref="H5:I5"/>
    <mergeCell ref="J5:K5"/>
    <mergeCell ref="L5:M5"/>
    <mergeCell ref="N5:O5"/>
    <mergeCell ref="B7:C7"/>
    <mergeCell ref="D7:E7"/>
    <mergeCell ref="B6:C6"/>
    <mergeCell ref="D6:E6"/>
    <mergeCell ref="F6:G6"/>
    <mergeCell ref="H6:I6"/>
    <mergeCell ref="J6:K6"/>
    <mergeCell ref="B12:C12"/>
    <mergeCell ref="D12:E12"/>
    <mergeCell ref="F12:G12"/>
    <mergeCell ref="H12:I12"/>
    <mergeCell ref="F7:G7"/>
    <mergeCell ref="H7:I7"/>
    <mergeCell ref="F8:G8"/>
    <mergeCell ref="H8:I8"/>
    <mergeCell ref="J7:K7"/>
    <mergeCell ref="F9:G9"/>
    <mergeCell ref="H9:I9"/>
    <mergeCell ref="J8:K8"/>
    <mergeCell ref="J9:K9"/>
    <mergeCell ref="Z14:AA14"/>
    <mergeCell ref="V26:W26"/>
    <mergeCell ref="V29:W29"/>
    <mergeCell ref="V21:W21"/>
    <mergeCell ref="V16:W16"/>
    <mergeCell ref="R18:S18"/>
    <mergeCell ref="V23:W23"/>
    <mergeCell ref="V24:W24"/>
    <mergeCell ref="V25:W25"/>
    <mergeCell ref="R17:S17"/>
    <mergeCell ref="R29:S29"/>
    <mergeCell ref="V22:W22"/>
    <mergeCell ref="R20:S20"/>
    <mergeCell ref="R21:S21"/>
    <mergeCell ref="R25:S25"/>
    <mergeCell ref="R26:S26"/>
    <mergeCell ref="R27:S27"/>
    <mergeCell ref="R28:S28"/>
    <mergeCell ref="R22:S22"/>
    <mergeCell ref="R24:S24"/>
    <mergeCell ref="R23:S23"/>
    <mergeCell ref="V28:W28"/>
    <mergeCell ref="R9:S9"/>
    <mergeCell ref="R10:S10"/>
    <mergeCell ref="R11:S11"/>
    <mergeCell ref="R12:S12"/>
    <mergeCell ref="J12:K12"/>
    <mergeCell ref="J31:K31"/>
    <mergeCell ref="J19:K19"/>
    <mergeCell ref="N18:O18"/>
    <mergeCell ref="N24:O24"/>
    <mergeCell ref="J24:K24"/>
    <mergeCell ref="J20:K20"/>
    <mergeCell ref="L24:M24"/>
    <mergeCell ref="D13:E13"/>
    <mergeCell ref="R19:S19"/>
    <mergeCell ref="R16:S16"/>
    <mergeCell ref="B18:C18"/>
    <mergeCell ref="D18:E18"/>
    <mergeCell ref="F18:G18"/>
    <mergeCell ref="H18:I18"/>
    <mergeCell ref="B24:C24"/>
    <mergeCell ref="D24:E24"/>
    <mergeCell ref="F24:G24"/>
    <mergeCell ref="D21:E21"/>
    <mergeCell ref="F21:G21"/>
    <mergeCell ref="D20:E20"/>
    <mergeCell ref="F20:G20"/>
    <mergeCell ref="H20:I20"/>
    <mergeCell ref="J18:K18"/>
    <mergeCell ref="H19:I19"/>
    <mergeCell ref="H21:I21"/>
    <mergeCell ref="D19:E19"/>
    <mergeCell ref="F19:G19"/>
    <mergeCell ref="H22:I22"/>
    <mergeCell ref="H24:I24"/>
    <mergeCell ref="B43:C43"/>
    <mergeCell ref="D43:E43"/>
    <mergeCell ref="F43:G43"/>
    <mergeCell ref="H43:I43"/>
    <mergeCell ref="J43:K43"/>
    <mergeCell ref="L43:M43"/>
    <mergeCell ref="N43:O43"/>
    <mergeCell ref="B44:C44"/>
    <mergeCell ref="D44:E44"/>
    <mergeCell ref="F44:G44"/>
    <mergeCell ref="H44:I44"/>
    <mergeCell ref="J44:K44"/>
    <mergeCell ref="L44:M44"/>
    <mergeCell ref="N44:O44"/>
    <mergeCell ref="B45:C45"/>
    <mergeCell ref="D45:E45"/>
    <mergeCell ref="F45:G45"/>
    <mergeCell ref="H45:I45"/>
    <mergeCell ref="J45:K45"/>
    <mergeCell ref="L45:M45"/>
    <mergeCell ref="N45:O45"/>
    <mergeCell ref="B47:C47"/>
    <mergeCell ref="D47:E47"/>
    <mergeCell ref="F47:G47"/>
    <mergeCell ref="H47:I47"/>
    <mergeCell ref="J47:K47"/>
    <mergeCell ref="L47:M47"/>
    <mergeCell ref="N47:O47"/>
    <mergeCell ref="B48:C48"/>
    <mergeCell ref="D48:E48"/>
    <mergeCell ref="F48:G48"/>
    <mergeCell ref="H48:I48"/>
    <mergeCell ref="J48:K48"/>
    <mergeCell ref="L48:M48"/>
    <mergeCell ref="N48:O48"/>
    <mergeCell ref="B49:C49"/>
    <mergeCell ref="D49:E49"/>
    <mergeCell ref="F49:G49"/>
    <mergeCell ref="H49:I49"/>
    <mergeCell ref="J49:K49"/>
    <mergeCell ref="L49:M49"/>
    <mergeCell ref="N49:O49"/>
  </mergeCells>
  <phoneticPr fontId="1" type="noConversion"/>
  <pageMargins left="0.25" right="0.25" top="0.75" bottom="0.75" header="0.3" footer="0.3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0"/>
  <sheetViews>
    <sheetView view="pageBreakPreview" zoomScale="70" zoomScaleNormal="85" zoomScaleSheetLayoutView="70" workbookViewId="0">
      <selection activeCell="Q3" sqref="Q3:S4"/>
    </sheetView>
  </sheetViews>
  <sheetFormatPr defaultColWidth="9" defaultRowHeight="16.5"/>
  <cols>
    <col min="1" max="1" width="5.625" style="1" customWidth="1"/>
    <col min="2" max="15" width="9" style="1"/>
    <col min="16" max="16" width="5.625" style="1" customWidth="1"/>
    <col min="17" max="19" width="10.625" style="1" customWidth="1"/>
    <col min="20" max="20" width="5.625" style="1" customWidth="1"/>
    <col min="21" max="23" width="10.625" style="1" customWidth="1"/>
    <col min="24" max="24" width="5.625" style="1" customWidth="1"/>
    <col min="25" max="27" width="10.625" style="1" customWidth="1"/>
    <col min="28" max="28" width="5.625" style="1" customWidth="1"/>
    <col min="29" max="31" width="10.625" style="1" customWidth="1"/>
    <col min="32" max="16384" width="9" style="1"/>
  </cols>
  <sheetData>
    <row r="1" spans="2:31" ht="17.25" thickBot="1"/>
    <row r="2" spans="2:31" ht="16.5" customHeight="1">
      <c r="B2" s="272" t="s">
        <v>8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99"/>
      <c r="Q2" s="279" t="s">
        <v>0</v>
      </c>
      <c r="R2" s="280"/>
      <c r="S2" s="281"/>
      <c r="T2" s="99"/>
      <c r="U2" s="99"/>
      <c r="V2" s="99"/>
      <c r="W2" s="99"/>
      <c r="X2" s="99"/>
      <c r="Y2" s="99"/>
      <c r="Z2" s="99"/>
      <c r="AA2" s="99"/>
      <c r="AB2" s="99"/>
    </row>
    <row r="3" spans="2:31" ht="16.5" customHeight="1" thickBot="1"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99"/>
      <c r="Q3" s="282">
        <f>COUNTA($B$7:$O$13,$B$15:$O$22,$B$24:$O$28,$B$30:$O$34,$B$36:$O$40,$B$49:$O$49)*88000</f>
        <v>2992000</v>
      </c>
      <c r="R3" s="283"/>
      <c r="S3" s="284"/>
      <c r="T3" s="99"/>
      <c r="U3" s="99"/>
      <c r="V3" s="99"/>
      <c r="W3" s="99"/>
      <c r="X3" s="99"/>
      <c r="Y3" s="99"/>
      <c r="Z3" s="99"/>
      <c r="AA3" s="99"/>
      <c r="AB3" s="99"/>
    </row>
    <row r="4" spans="2:31" ht="21.75" customHeight="1" thickBot="1">
      <c r="B4" s="288" t="s">
        <v>16</v>
      </c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99"/>
      <c r="Q4" s="285"/>
      <c r="R4" s="286"/>
      <c r="S4" s="287"/>
      <c r="T4" s="99"/>
      <c r="U4" s="99"/>
      <c r="V4" s="99"/>
      <c r="W4" s="99"/>
      <c r="X4" s="99"/>
      <c r="Y4" s="99"/>
      <c r="Z4" s="99"/>
      <c r="AA4" s="99"/>
      <c r="AB4" s="99"/>
    </row>
    <row r="5" spans="2:31" ht="30" customHeight="1" thickBot="1">
      <c r="B5" s="289" t="s">
        <v>4</v>
      </c>
      <c r="C5" s="290"/>
      <c r="D5" s="291" t="s">
        <v>1</v>
      </c>
      <c r="E5" s="291"/>
      <c r="F5" s="291" t="s">
        <v>5</v>
      </c>
      <c r="G5" s="291"/>
      <c r="H5" s="291" t="s">
        <v>6</v>
      </c>
      <c r="I5" s="291"/>
      <c r="J5" s="291" t="s">
        <v>2</v>
      </c>
      <c r="K5" s="291"/>
      <c r="L5" s="291" t="s">
        <v>3</v>
      </c>
      <c r="M5" s="291"/>
      <c r="N5" s="292" t="s">
        <v>7</v>
      </c>
      <c r="O5" s="293"/>
      <c r="P5" s="99"/>
      <c r="Q5" s="100"/>
      <c r="R5" s="100"/>
      <c r="S5" s="100"/>
      <c r="T5" s="99"/>
      <c r="U5" s="99"/>
      <c r="V5" s="99"/>
      <c r="W5" s="99"/>
      <c r="X5" s="99"/>
      <c r="Y5" s="101"/>
      <c r="Z5" s="101"/>
      <c r="AA5" s="101"/>
      <c r="AB5" s="99"/>
      <c r="AC5" s="22"/>
      <c r="AD5" s="22"/>
      <c r="AE5" s="22"/>
    </row>
    <row r="6" spans="2:31" ht="17.100000000000001" customHeight="1" thickBot="1">
      <c r="B6" s="276"/>
      <c r="C6" s="277"/>
      <c r="D6" s="276"/>
      <c r="E6" s="277"/>
      <c r="F6" s="278"/>
      <c r="G6" s="277"/>
      <c r="H6" s="274">
        <f t="shared" ref="H6" si="0">F6+1</f>
        <v>1</v>
      </c>
      <c r="I6" s="275"/>
      <c r="J6" s="274">
        <f t="shared" ref="J6" si="1">H6+1</f>
        <v>2</v>
      </c>
      <c r="K6" s="275"/>
      <c r="L6" s="274">
        <f t="shared" ref="L6" si="2">J6+1</f>
        <v>3</v>
      </c>
      <c r="M6" s="275"/>
      <c r="N6" s="298">
        <f>L6+1</f>
        <v>4</v>
      </c>
      <c r="O6" s="299"/>
      <c r="P6" s="99"/>
      <c r="Q6" s="167" t="s">
        <v>39</v>
      </c>
      <c r="R6" s="266" t="s">
        <v>228</v>
      </c>
      <c r="S6" s="267"/>
      <c r="T6" s="102"/>
      <c r="U6" s="158" t="s">
        <v>24</v>
      </c>
      <c r="V6" s="470" t="s">
        <v>253</v>
      </c>
      <c r="W6" s="471"/>
      <c r="X6" s="102"/>
      <c r="Y6" s="465" t="s">
        <v>9</v>
      </c>
      <c r="Z6" s="25" t="s">
        <v>271</v>
      </c>
      <c r="AA6" s="9">
        <v>6</v>
      </c>
      <c r="AB6" s="99"/>
    </row>
    <row r="7" spans="2:31" ht="17.100000000000001" customHeight="1">
      <c r="B7" s="103"/>
      <c r="C7" s="103"/>
      <c r="D7" s="104"/>
      <c r="E7" s="105"/>
      <c r="F7" s="294"/>
      <c r="G7" s="295"/>
      <c r="H7" s="323" t="s">
        <v>226</v>
      </c>
      <c r="I7" s="316"/>
      <c r="J7" s="323" t="s">
        <v>226</v>
      </c>
      <c r="K7" s="316"/>
      <c r="L7" s="294"/>
      <c r="M7" s="295"/>
      <c r="N7" s="106"/>
      <c r="O7" s="107"/>
      <c r="P7" s="99"/>
      <c r="Q7" s="159" t="s">
        <v>25</v>
      </c>
      <c r="R7" s="254" t="s">
        <v>26</v>
      </c>
      <c r="S7" s="255"/>
      <c r="T7" s="102"/>
      <c r="U7" s="159" t="s">
        <v>25</v>
      </c>
      <c r="V7" s="254" t="s">
        <v>248</v>
      </c>
      <c r="W7" s="255"/>
      <c r="X7" s="102"/>
      <c r="Y7" s="466"/>
      <c r="Z7" s="26" t="s">
        <v>272</v>
      </c>
      <c r="AA7" s="10">
        <v>5</v>
      </c>
      <c r="AB7" s="99"/>
    </row>
    <row r="8" spans="2:31" ht="17.100000000000001" customHeight="1">
      <c r="B8" s="103"/>
      <c r="C8" s="103"/>
      <c r="D8" s="104"/>
      <c r="E8" s="105"/>
      <c r="F8" s="294"/>
      <c r="G8" s="295"/>
      <c r="H8" s="309" t="s">
        <v>224</v>
      </c>
      <c r="I8" s="310"/>
      <c r="J8" s="351" t="s">
        <v>38</v>
      </c>
      <c r="K8" s="352"/>
      <c r="L8" s="104"/>
      <c r="M8" s="108"/>
      <c r="N8" s="104"/>
      <c r="O8" s="103"/>
      <c r="P8" s="99"/>
      <c r="Q8" s="165" t="s">
        <v>27</v>
      </c>
      <c r="R8" s="268" t="s">
        <v>227</v>
      </c>
      <c r="S8" s="269"/>
      <c r="T8" s="102"/>
      <c r="U8" s="160" t="s">
        <v>27</v>
      </c>
      <c r="V8" s="256" t="s">
        <v>254</v>
      </c>
      <c r="W8" s="257"/>
      <c r="X8" s="102"/>
      <c r="Y8" s="466"/>
      <c r="Z8" s="26" t="s">
        <v>273</v>
      </c>
      <c r="AA8" s="10">
        <v>7</v>
      </c>
      <c r="AB8" s="99"/>
    </row>
    <row r="9" spans="2:31" ht="17.100000000000001" customHeight="1">
      <c r="B9" s="103"/>
      <c r="C9" s="103"/>
      <c r="D9" s="109"/>
      <c r="E9" s="110"/>
      <c r="F9" s="294"/>
      <c r="G9" s="295"/>
      <c r="H9" s="294"/>
      <c r="I9" s="295"/>
      <c r="J9" s="225"/>
      <c r="K9" s="226"/>
      <c r="L9" s="104"/>
      <c r="M9" s="105"/>
      <c r="N9" s="104"/>
      <c r="O9" s="103"/>
      <c r="P9" s="99"/>
      <c r="Q9" s="165" t="s">
        <v>29</v>
      </c>
      <c r="R9" s="268" t="s">
        <v>30</v>
      </c>
      <c r="S9" s="269"/>
      <c r="T9" s="102"/>
      <c r="U9" s="160" t="s">
        <v>29</v>
      </c>
      <c r="V9" s="256" t="s">
        <v>249</v>
      </c>
      <c r="W9" s="257"/>
      <c r="X9" s="102"/>
      <c r="Y9" s="466"/>
      <c r="Z9" s="26" t="s">
        <v>274</v>
      </c>
      <c r="AA9" s="10">
        <v>4</v>
      </c>
      <c r="AB9" s="99"/>
    </row>
    <row r="10" spans="2:31" ht="17.100000000000001" customHeight="1">
      <c r="B10" s="103"/>
      <c r="C10" s="103"/>
      <c r="D10" s="109"/>
      <c r="E10" s="110"/>
      <c r="F10" s="104"/>
      <c r="G10" s="105"/>
      <c r="H10" s="294"/>
      <c r="I10" s="295"/>
      <c r="J10" s="294"/>
      <c r="K10" s="295"/>
      <c r="L10" s="101"/>
      <c r="M10" s="101"/>
      <c r="N10" s="104"/>
      <c r="O10" s="103"/>
      <c r="P10" s="99"/>
      <c r="Q10" s="166" t="s">
        <v>43</v>
      </c>
      <c r="R10" s="258" t="s">
        <v>244</v>
      </c>
      <c r="S10" s="259"/>
      <c r="T10" s="102"/>
      <c r="U10" s="161" t="s">
        <v>250</v>
      </c>
      <c r="V10" s="463" t="s">
        <v>255</v>
      </c>
      <c r="W10" s="464"/>
      <c r="X10" s="102"/>
      <c r="Y10" s="466"/>
      <c r="Z10" s="26" t="s">
        <v>275</v>
      </c>
      <c r="AA10" s="10">
        <v>2</v>
      </c>
      <c r="AB10" s="99"/>
    </row>
    <row r="11" spans="2:31" ht="17.100000000000001" customHeight="1">
      <c r="B11" s="103"/>
      <c r="C11" s="103"/>
      <c r="D11" s="109"/>
      <c r="E11" s="110"/>
      <c r="F11" s="104"/>
      <c r="G11" s="105"/>
      <c r="H11" s="294"/>
      <c r="I11" s="295"/>
      <c r="J11" s="294"/>
      <c r="K11" s="295"/>
      <c r="L11" s="101"/>
      <c r="M11" s="101"/>
      <c r="N11" s="104"/>
      <c r="O11" s="103"/>
      <c r="P11" s="99"/>
      <c r="Q11" s="166"/>
      <c r="R11" s="258" t="s">
        <v>243</v>
      </c>
      <c r="S11" s="259"/>
      <c r="T11" s="102"/>
      <c r="U11" s="193"/>
      <c r="V11" s="463" t="s">
        <v>262</v>
      </c>
      <c r="W11" s="464"/>
      <c r="X11" s="102"/>
      <c r="Y11" s="466"/>
      <c r="Z11" s="27" t="s">
        <v>276</v>
      </c>
      <c r="AA11" s="10">
        <v>5</v>
      </c>
      <c r="AB11" s="99"/>
    </row>
    <row r="12" spans="2:31" ht="17.100000000000001" customHeight="1" thickBot="1">
      <c r="B12" s="103"/>
      <c r="C12" s="103"/>
      <c r="D12" s="109"/>
      <c r="E12" s="110"/>
      <c r="F12" s="104"/>
      <c r="G12" s="105"/>
      <c r="H12" s="104"/>
      <c r="I12" s="105"/>
      <c r="J12" s="294"/>
      <c r="K12" s="295"/>
      <c r="L12" s="101"/>
      <c r="M12" s="101"/>
      <c r="N12" s="104"/>
      <c r="O12" s="103"/>
      <c r="P12" s="99"/>
      <c r="Q12" s="165" t="s">
        <v>32</v>
      </c>
      <c r="R12" s="321" t="s">
        <v>33</v>
      </c>
      <c r="S12" s="322"/>
      <c r="T12" s="102"/>
      <c r="U12" s="162" t="s">
        <v>32</v>
      </c>
      <c r="V12" s="260" t="s">
        <v>251</v>
      </c>
      <c r="W12" s="261"/>
      <c r="X12" s="102"/>
      <c r="Y12" s="466"/>
      <c r="Z12" s="28" t="s">
        <v>277</v>
      </c>
      <c r="AA12" s="11">
        <v>4</v>
      </c>
      <c r="AB12" s="99"/>
    </row>
    <row r="13" spans="2:31" ht="17.100000000000001" customHeight="1" thickBot="1">
      <c r="B13" s="111"/>
      <c r="C13" s="111"/>
      <c r="D13" s="112"/>
      <c r="E13" s="113"/>
      <c r="F13" s="112"/>
      <c r="G13" s="113"/>
      <c r="H13" s="112"/>
      <c r="I13" s="113"/>
      <c r="J13" s="99"/>
      <c r="K13" s="223"/>
      <c r="L13" s="99"/>
      <c r="M13" s="99"/>
      <c r="N13" s="112"/>
      <c r="O13" s="111"/>
      <c r="P13" s="99"/>
      <c r="Q13" s="163" t="s">
        <v>45</v>
      </c>
      <c r="R13" s="264">
        <v>46119</v>
      </c>
      <c r="S13" s="265"/>
      <c r="T13" s="102"/>
      <c r="U13" s="163" t="s">
        <v>252</v>
      </c>
      <c r="V13" s="264">
        <v>46121</v>
      </c>
      <c r="W13" s="265"/>
      <c r="X13" s="102"/>
      <c r="Y13" s="467"/>
      <c r="Z13" s="27" t="s">
        <v>278</v>
      </c>
      <c r="AA13" s="10">
        <v>1</v>
      </c>
      <c r="AB13" s="99"/>
    </row>
    <row r="14" spans="2:31" ht="17.100000000000001" customHeight="1" thickBot="1">
      <c r="B14" s="296">
        <f>N6+1</f>
        <v>5</v>
      </c>
      <c r="C14" s="297"/>
      <c r="D14" s="274">
        <f>B14+1</f>
        <v>6</v>
      </c>
      <c r="E14" s="275"/>
      <c r="F14" s="274">
        <f>D14+1</f>
        <v>7</v>
      </c>
      <c r="G14" s="275"/>
      <c r="H14" s="274">
        <f t="shared" ref="H14" si="3">F14+1</f>
        <v>8</v>
      </c>
      <c r="I14" s="275"/>
      <c r="J14" s="274">
        <f t="shared" ref="J14" si="4">H14+1</f>
        <v>9</v>
      </c>
      <c r="K14" s="275"/>
      <c r="L14" s="274">
        <f t="shared" ref="L14" si="5">J14+1</f>
        <v>10</v>
      </c>
      <c r="M14" s="275"/>
      <c r="N14" s="298">
        <f t="shared" ref="N14" si="6">L14+1</f>
        <v>11</v>
      </c>
      <c r="O14" s="299"/>
      <c r="P14" s="99"/>
      <c r="T14" s="102"/>
      <c r="U14" s="227"/>
      <c r="V14" s="476"/>
      <c r="W14" s="476"/>
      <c r="X14" s="102"/>
      <c r="Y14" s="7" t="s">
        <v>10</v>
      </c>
      <c r="Z14" s="468">
        <f>SUM(AA6:AA13)*88000</f>
        <v>2992000</v>
      </c>
      <c r="AA14" s="469"/>
      <c r="AB14" s="99"/>
    </row>
    <row r="15" spans="2:31" ht="17.100000000000001" customHeight="1" thickBot="1">
      <c r="B15" s="103"/>
      <c r="C15" s="103"/>
      <c r="D15" s="309" t="s">
        <v>149</v>
      </c>
      <c r="E15" s="310"/>
      <c r="F15" s="309" t="s">
        <v>149</v>
      </c>
      <c r="G15" s="310"/>
      <c r="H15" s="309" t="s">
        <v>149</v>
      </c>
      <c r="I15" s="310"/>
      <c r="J15" s="309" t="s">
        <v>149</v>
      </c>
      <c r="K15" s="310"/>
      <c r="L15" s="106"/>
      <c r="M15" s="116"/>
      <c r="N15" s="106"/>
      <c r="O15" s="107"/>
      <c r="P15" s="99"/>
      <c r="Q15" s="168" t="s">
        <v>143</v>
      </c>
      <c r="R15" s="411" t="s">
        <v>222</v>
      </c>
      <c r="S15" s="412"/>
      <c r="T15" s="102"/>
      <c r="U15" s="207" t="s">
        <v>39</v>
      </c>
      <c r="V15" s="384" t="s">
        <v>257</v>
      </c>
      <c r="W15" s="385"/>
      <c r="X15" s="102"/>
      <c r="Y15" s="102"/>
      <c r="Z15" s="454"/>
      <c r="AA15" s="454"/>
      <c r="AB15" s="99"/>
    </row>
    <row r="16" spans="2:31" ht="17.100000000000001" customHeight="1">
      <c r="B16" s="103"/>
      <c r="C16" s="103"/>
      <c r="D16" s="323" t="s">
        <v>226</v>
      </c>
      <c r="E16" s="316"/>
      <c r="F16" s="323" t="s">
        <v>226</v>
      </c>
      <c r="G16" s="316"/>
      <c r="H16" s="323" t="s">
        <v>226</v>
      </c>
      <c r="I16" s="316"/>
      <c r="J16" s="323" t="s">
        <v>226</v>
      </c>
      <c r="K16" s="316"/>
      <c r="L16" s="104"/>
      <c r="M16" s="110"/>
      <c r="N16" s="109"/>
      <c r="O16" s="103"/>
      <c r="P16" s="99"/>
      <c r="Q16" s="159" t="s">
        <v>25</v>
      </c>
      <c r="R16" s="254" t="s">
        <v>26</v>
      </c>
      <c r="S16" s="255"/>
      <c r="T16" s="102"/>
      <c r="U16" s="159" t="s">
        <v>25</v>
      </c>
      <c r="V16" s="254" t="s">
        <v>26</v>
      </c>
      <c r="W16" s="255"/>
      <c r="X16" s="102"/>
      <c r="Y16" s="102"/>
      <c r="Z16" s="458"/>
      <c r="AA16" s="458"/>
      <c r="AB16" s="99"/>
    </row>
    <row r="17" spans="2:28" ht="17.100000000000001" customHeight="1">
      <c r="B17" s="103"/>
      <c r="C17" s="103"/>
      <c r="D17" s="477" t="s">
        <v>245</v>
      </c>
      <c r="E17" s="433"/>
      <c r="F17" s="477" t="s">
        <v>245</v>
      </c>
      <c r="G17" s="433"/>
      <c r="H17" s="477" t="s">
        <v>245</v>
      </c>
      <c r="I17" s="433"/>
      <c r="J17" s="477" t="s">
        <v>245</v>
      </c>
      <c r="K17" s="433"/>
      <c r="L17" s="104"/>
      <c r="M17" s="110"/>
      <c r="N17" s="109"/>
      <c r="O17" s="103"/>
      <c r="P17" s="99"/>
      <c r="Q17" s="165" t="s">
        <v>27</v>
      </c>
      <c r="R17" s="268" t="s">
        <v>144</v>
      </c>
      <c r="S17" s="269"/>
      <c r="T17" s="102"/>
      <c r="U17" s="165" t="s">
        <v>27</v>
      </c>
      <c r="V17" s="268" t="s">
        <v>159</v>
      </c>
      <c r="W17" s="269"/>
      <c r="X17" s="102"/>
      <c r="Y17" s="102"/>
      <c r="Z17" s="458"/>
      <c r="AA17" s="458"/>
      <c r="AB17" s="99"/>
    </row>
    <row r="18" spans="2:28" ht="17.100000000000001" customHeight="1">
      <c r="B18" s="103"/>
      <c r="C18" s="103"/>
      <c r="D18" s="294"/>
      <c r="E18" s="295"/>
      <c r="F18" s="478" t="s">
        <v>256</v>
      </c>
      <c r="G18" s="350"/>
      <c r="H18" s="361" t="s">
        <v>67</v>
      </c>
      <c r="I18" s="331"/>
      <c r="J18" s="478" t="s">
        <v>256</v>
      </c>
      <c r="K18" s="350"/>
      <c r="L18" s="104"/>
      <c r="M18" s="110"/>
      <c r="N18" s="109"/>
      <c r="O18" s="103"/>
      <c r="P18" s="99"/>
      <c r="Q18" s="165" t="s">
        <v>29</v>
      </c>
      <c r="R18" s="268" t="s">
        <v>30</v>
      </c>
      <c r="S18" s="269"/>
      <c r="T18" s="102"/>
      <c r="U18" s="165" t="s">
        <v>29</v>
      </c>
      <c r="V18" s="268" t="s">
        <v>30</v>
      </c>
      <c r="W18" s="269"/>
      <c r="X18" s="102"/>
      <c r="Y18" s="102"/>
      <c r="Z18" s="458"/>
      <c r="AA18" s="458"/>
      <c r="AB18" s="99"/>
    </row>
    <row r="19" spans="2:28" ht="17.100000000000001" customHeight="1">
      <c r="B19" s="103"/>
      <c r="C19" s="103"/>
      <c r="D19" s="294"/>
      <c r="E19" s="295"/>
      <c r="F19" s="294"/>
      <c r="G19" s="295"/>
      <c r="H19" s="472" t="s">
        <v>258</v>
      </c>
      <c r="I19" s="473"/>
      <c r="J19" s="294"/>
      <c r="K19" s="295"/>
      <c r="L19" s="104"/>
      <c r="M19" s="110"/>
      <c r="N19" s="109"/>
      <c r="O19" s="103"/>
      <c r="P19" s="99"/>
      <c r="Q19" s="166" t="s">
        <v>43</v>
      </c>
      <c r="R19" s="258" t="s">
        <v>231</v>
      </c>
      <c r="S19" s="259"/>
      <c r="T19" s="102"/>
      <c r="U19" s="166" t="s">
        <v>43</v>
      </c>
      <c r="V19" s="463" t="s">
        <v>259</v>
      </c>
      <c r="W19" s="464"/>
      <c r="X19" s="102"/>
      <c r="Y19" s="102"/>
      <c r="AB19" s="99"/>
    </row>
    <row r="20" spans="2:28" ht="17.100000000000001" customHeight="1">
      <c r="B20" s="103"/>
      <c r="C20" s="103"/>
      <c r="D20" s="294"/>
      <c r="E20" s="295"/>
      <c r="F20" s="294"/>
      <c r="G20" s="295"/>
      <c r="H20" s="351" t="s">
        <v>38</v>
      </c>
      <c r="I20" s="352"/>
      <c r="J20" s="294"/>
      <c r="K20" s="295"/>
      <c r="L20" s="104"/>
      <c r="M20" s="110"/>
      <c r="N20" s="109"/>
      <c r="O20" s="103"/>
      <c r="P20" s="99"/>
      <c r="Q20" s="166"/>
      <c r="R20" s="258" t="s">
        <v>243</v>
      </c>
      <c r="S20" s="259"/>
      <c r="T20" s="102"/>
      <c r="U20" s="166"/>
      <c r="V20" s="463" t="s">
        <v>263</v>
      </c>
      <c r="W20" s="464"/>
      <c r="X20" s="102"/>
      <c r="Y20" s="102"/>
      <c r="AB20" s="99"/>
    </row>
    <row r="21" spans="2:28" ht="17.100000000000001" customHeight="1" thickBot="1">
      <c r="B21" s="103"/>
      <c r="C21" s="103"/>
      <c r="D21" s="294"/>
      <c r="E21" s="295"/>
      <c r="F21" s="104"/>
      <c r="G21" s="105"/>
      <c r="H21" s="104"/>
      <c r="I21" s="105"/>
      <c r="J21" s="104"/>
      <c r="K21" s="105"/>
      <c r="L21" s="104"/>
      <c r="M21" s="110"/>
      <c r="N21" s="109"/>
      <c r="O21" s="103"/>
      <c r="P21" s="99"/>
      <c r="Q21" s="165" t="s">
        <v>32</v>
      </c>
      <c r="R21" s="321" t="s">
        <v>145</v>
      </c>
      <c r="S21" s="322"/>
      <c r="T21" s="102"/>
      <c r="U21" s="230" t="s">
        <v>32</v>
      </c>
      <c r="V21" s="321" t="s">
        <v>33</v>
      </c>
      <c r="W21" s="322"/>
      <c r="X21" s="102"/>
      <c r="Y21" s="102"/>
    </row>
    <row r="22" spans="2:28" ht="17.100000000000001" customHeight="1" thickBot="1">
      <c r="B22" s="111"/>
      <c r="C22" s="111"/>
      <c r="D22" s="294"/>
      <c r="E22" s="295"/>
      <c r="F22" s="119"/>
      <c r="G22" s="120"/>
      <c r="H22" s="119"/>
      <c r="I22" s="120"/>
      <c r="J22" s="119"/>
      <c r="K22" s="120"/>
      <c r="L22" s="112"/>
      <c r="M22" s="113"/>
      <c r="N22" s="112"/>
      <c r="O22" s="111"/>
      <c r="P22" s="99"/>
      <c r="Q22" s="163" t="s">
        <v>45</v>
      </c>
      <c r="R22" s="381">
        <v>46125</v>
      </c>
      <c r="S22" s="265"/>
      <c r="T22" s="102"/>
      <c r="X22" s="102"/>
      <c r="Y22" s="102"/>
    </row>
    <row r="23" spans="2:28" ht="17.100000000000001" customHeight="1" thickBot="1">
      <c r="B23" s="296">
        <f>N14+1</f>
        <v>12</v>
      </c>
      <c r="C23" s="297"/>
      <c r="D23" s="274">
        <f>B23+1</f>
        <v>13</v>
      </c>
      <c r="E23" s="275"/>
      <c r="F23" s="274">
        <f>D23+1</f>
        <v>14</v>
      </c>
      <c r="G23" s="275"/>
      <c r="H23" s="274">
        <f t="shared" ref="H23" si="7">F23+1</f>
        <v>15</v>
      </c>
      <c r="I23" s="275"/>
      <c r="J23" s="274">
        <f t="shared" ref="J23" si="8">H23+1</f>
        <v>16</v>
      </c>
      <c r="K23" s="275"/>
      <c r="L23" s="274">
        <f t="shared" ref="L23" si="9">J23+1</f>
        <v>17</v>
      </c>
      <c r="M23" s="275"/>
      <c r="N23" s="298">
        <f t="shared" ref="N23" si="10">L23+1</f>
        <v>18</v>
      </c>
      <c r="O23" s="299"/>
      <c r="P23" s="99"/>
      <c r="Q23" s="102"/>
      <c r="R23" s="115"/>
      <c r="S23" s="115"/>
      <c r="T23" s="102"/>
      <c r="U23" s="229" t="s">
        <v>39</v>
      </c>
      <c r="V23" s="479" t="s">
        <v>257</v>
      </c>
      <c r="W23" s="480"/>
      <c r="X23" s="102"/>
      <c r="Y23" s="102"/>
    </row>
    <row r="24" spans="2:28" ht="17.100000000000001" customHeight="1" thickBot="1">
      <c r="B24" s="107"/>
      <c r="C24" s="116"/>
      <c r="D24" s="361" t="s">
        <v>67</v>
      </c>
      <c r="E24" s="331"/>
      <c r="F24" s="361" t="s">
        <v>67</v>
      </c>
      <c r="G24" s="331"/>
      <c r="H24" s="361" t="s">
        <v>67</v>
      </c>
      <c r="I24" s="331"/>
      <c r="J24" s="361" t="s">
        <v>67</v>
      </c>
      <c r="K24" s="331"/>
      <c r="L24" s="106"/>
      <c r="M24" s="116"/>
      <c r="N24" s="106"/>
      <c r="O24" s="107"/>
      <c r="P24" s="99"/>
      <c r="Q24" s="228" t="s">
        <v>39</v>
      </c>
      <c r="R24" s="474" t="s">
        <v>247</v>
      </c>
      <c r="S24" s="475"/>
      <c r="T24" s="102"/>
      <c r="U24" s="159" t="s">
        <v>25</v>
      </c>
      <c r="V24" s="254" t="s">
        <v>26</v>
      </c>
      <c r="W24" s="255"/>
      <c r="X24" s="102"/>
      <c r="Y24" s="102"/>
    </row>
    <row r="25" spans="2:28" ht="17.100000000000001" customHeight="1">
      <c r="B25" s="103"/>
      <c r="C25" s="103"/>
      <c r="D25" s="472" t="s">
        <v>258</v>
      </c>
      <c r="E25" s="473"/>
      <c r="F25" s="472" t="s">
        <v>258</v>
      </c>
      <c r="G25" s="473"/>
      <c r="H25" s="472" t="s">
        <v>258</v>
      </c>
      <c r="I25" s="473"/>
      <c r="J25" s="351" t="s">
        <v>38</v>
      </c>
      <c r="K25" s="352"/>
      <c r="L25" s="109"/>
      <c r="M25" s="110"/>
      <c r="N25" s="109"/>
      <c r="O25" s="103"/>
      <c r="P25" s="99"/>
      <c r="Q25" s="159" t="s">
        <v>25</v>
      </c>
      <c r="R25" s="254" t="s">
        <v>26</v>
      </c>
      <c r="S25" s="255"/>
      <c r="T25" s="102"/>
      <c r="U25" s="165" t="s">
        <v>27</v>
      </c>
      <c r="V25" s="268" t="s">
        <v>260</v>
      </c>
      <c r="W25" s="269"/>
      <c r="X25" s="102"/>
      <c r="Y25" s="102"/>
    </row>
    <row r="26" spans="2:28" ht="17.100000000000001" customHeight="1">
      <c r="B26" s="103"/>
      <c r="C26" s="103"/>
      <c r="D26" s="477" t="s">
        <v>245</v>
      </c>
      <c r="E26" s="433"/>
      <c r="F26" s="477" t="s">
        <v>245</v>
      </c>
      <c r="G26" s="433"/>
      <c r="H26" s="477" t="s">
        <v>245</v>
      </c>
      <c r="I26" s="433"/>
      <c r="J26" s="104"/>
      <c r="K26" s="105"/>
      <c r="L26" s="109"/>
      <c r="M26" s="110"/>
      <c r="N26" s="109"/>
      <c r="O26" s="103"/>
      <c r="P26" s="99"/>
      <c r="Q26" s="165" t="s">
        <v>27</v>
      </c>
      <c r="R26" s="268" t="s">
        <v>246</v>
      </c>
      <c r="S26" s="269"/>
      <c r="T26" s="102"/>
      <c r="U26" s="165" t="s">
        <v>29</v>
      </c>
      <c r="V26" s="268" t="s">
        <v>30</v>
      </c>
      <c r="W26" s="269"/>
      <c r="X26" s="102"/>
      <c r="Y26" s="102"/>
    </row>
    <row r="27" spans="2:28" ht="17.100000000000001" customHeight="1">
      <c r="B27" s="103"/>
      <c r="C27" s="103"/>
      <c r="D27" s="104"/>
      <c r="E27" s="105"/>
      <c r="F27" s="104"/>
      <c r="G27" s="105"/>
      <c r="H27" s="104"/>
      <c r="I27" s="105"/>
      <c r="J27" s="104"/>
      <c r="K27" s="105"/>
      <c r="L27" s="109"/>
      <c r="M27" s="110"/>
      <c r="N27" s="109"/>
      <c r="O27" s="103"/>
      <c r="P27" s="99"/>
      <c r="Q27" s="165" t="s">
        <v>29</v>
      </c>
      <c r="R27" s="268" t="s">
        <v>30</v>
      </c>
      <c r="S27" s="269"/>
      <c r="T27" s="102"/>
      <c r="U27" s="166" t="s">
        <v>43</v>
      </c>
      <c r="V27" s="463" t="s">
        <v>259</v>
      </c>
      <c r="W27" s="464"/>
      <c r="X27" s="102"/>
      <c r="Y27" s="102"/>
    </row>
    <row r="28" spans="2:28" ht="17.100000000000001" customHeight="1">
      <c r="B28" s="111"/>
      <c r="C28" s="111"/>
      <c r="D28" s="119"/>
      <c r="E28" s="120"/>
      <c r="F28" s="119"/>
      <c r="G28" s="120"/>
      <c r="H28" s="119"/>
      <c r="I28" s="120"/>
      <c r="J28" s="119"/>
      <c r="K28" s="120"/>
      <c r="L28" s="112"/>
      <c r="M28" s="113"/>
      <c r="N28" s="112"/>
      <c r="O28" s="111"/>
      <c r="P28" s="99"/>
      <c r="Q28" s="166" t="s">
        <v>43</v>
      </c>
      <c r="R28" s="258" t="s">
        <v>243</v>
      </c>
      <c r="S28" s="259"/>
      <c r="T28" s="102"/>
      <c r="U28" s="166"/>
      <c r="V28" s="463" t="s">
        <v>265</v>
      </c>
      <c r="W28" s="464"/>
      <c r="X28" s="102"/>
      <c r="Y28" s="102"/>
    </row>
    <row r="29" spans="2:28" ht="17.100000000000001" customHeight="1" thickBot="1">
      <c r="B29" s="296">
        <f>N23+1</f>
        <v>19</v>
      </c>
      <c r="C29" s="297"/>
      <c r="D29" s="274">
        <f>B29+1</f>
        <v>20</v>
      </c>
      <c r="E29" s="275"/>
      <c r="F29" s="274">
        <f>D29+1</f>
        <v>21</v>
      </c>
      <c r="G29" s="275"/>
      <c r="H29" s="274">
        <f t="shared" ref="H29" si="11">F29+1</f>
        <v>22</v>
      </c>
      <c r="I29" s="275"/>
      <c r="J29" s="274">
        <f t="shared" ref="J29" si="12">H29+1</f>
        <v>23</v>
      </c>
      <c r="K29" s="275"/>
      <c r="L29" s="274">
        <f t="shared" ref="L29" si="13">J29+1</f>
        <v>24</v>
      </c>
      <c r="M29" s="275"/>
      <c r="N29" s="298">
        <f t="shared" ref="N29" si="14">L29+1</f>
        <v>25</v>
      </c>
      <c r="O29" s="299"/>
      <c r="P29" s="99"/>
      <c r="Q29" s="166"/>
      <c r="R29" s="463" t="s">
        <v>264</v>
      </c>
      <c r="S29" s="464"/>
      <c r="T29" s="102"/>
      <c r="U29" s="230" t="s">
        <v>32</v>
      </c>
      <c r="V29" s="321" t="s">
        <v>33</v>
      </c>
      <c r="W29" s="322"/>
      <c r="X29" s="102"/>
      <c r="Y29" s="102"/>
    </row>
    <row r="30" spans="2:28" ht="17.100000000000001" customHeight="1" thickBot="1">
      <c r="B30" s="107"/>
      <c r="C30" s="116"/>
      <c r="D30" s="294"/>
      <c r="E30" s="295"/>
      <c r="F30" s="294"/>
      <c r="G30" s="295"/>
      <c r="H30" s="294"/>
      <c r="I30" s="295"/>
      <c r="J30" s="362" t="s">
        <v>268</v>
      </c>
      <c r="K30" s="333"/>
      <c r="L30" s="106"/>
      <c r="M30" s="116"/>
      <c r="N30" s="106"/>
      <c r="O30" s="107"/>
      <c r="P30" s="99"/>
      <c r="Q30" s="165" t="s">
        <v>32</v>
      </c>
      <c r="R30" s="321" t="s">
        <v>33</v>
      </c>
      <c r="S30" s="322"/>
      <c r="T30" s="102"/>
      <c r="U30" s="102"/>
      <c r="V30" s="458"/>
      <c r="W30" s="458"/>
      <c r="X30" s="102"/>
      <c r="Y30" s="102"/>
      <c r="Z30" s="455"/>
      <c r="AA30" s="455"/>
    </row>
    <row r="31" spans="2:28" ht="17.100000000000001" customHeight="1" thickBot="1">
      <c r="B31" s="103"/>
      <c r="C31" s="108"/>
      <c r="D31" s="294"/>
      <c r="E31" s="295"/>
      <c r="F31" s="294"/>
      <c r="G31" s="295"/>
      <c r="H31" s="294"/>
      <c r="I31" s="295"/>
      <c r="J31" s="351" t="s">
        <v>38</v>
      </c>
      <c r="K31" s="352"/>
      <c r="L31" s="104"/>
      <c r="M31" s="110"/>
      <c r="N31" s="109"/>
      <c r="O31" s="103"/>
      <c r="P31" s="99"/>
      <c r="Q31" s="163" t="s">
        <v>45</v>
      </c>
      <c r="R31" s="381">
        <v>46128</v>
      </c>
      <c r="S31" s="265"/>
      <c r="T31" s="102"/>
      <c r="U31" s="210" t="s">
        <v>39</v>
      </c>
      <c r="V31" s="371" t="s">
        <v>270</v>
      </c>
      <c r="W31" s="372"/>
      <c r="X31" s="102"/>
      <c r="Y31" s="102"/>
      <c r="Z31" s="102"/>
      <c r="AA31" s="102"/>
    </row>
    <row r="32" spans="2:28" ht="17.100000000000001" customHeight="1" thickBot="1">
      <c r="B32" s="103"/>
      <c r="C32" s="108"/>
      <c r="D32" s="294"/>
      <c r="E32" s="295"/>
      <c r="F32" s="104"/>
      <c r="G32" s="105"/>
      <c r="H32" s="294"/>
      <c r="I32" s="295"/>
      <c r="J32" s="104"/>
      <c r="K32" s="105"/>
      <c r="L32" s="104"/>
      <c r="M32" s="110"/>
      <c r="N32" s="109"/>
      <c r="O32" s="103"/>
      <c r="P32" s="99"/>
      <c r="Q32" s="115"/>
      <c r="R32" s="115"/>
      <c r="S32" s="115"/>
      <c r="T32" s="102"/>
      <c r="U32" s="159" t="s">
        <v>25</v>
      </c>
      <c r="V32" s="254" t="s">
        <v>26</v>
      </c>
      <c r="W32" s="255"/>
      <c r="X32" s="102"/>
      <c r="Y32" s="102"/>
      <c r="Z32" s="462"/>
      <c r="AA32" s="462"/>
      <c r="AB32" s="99"/>
    </row>
    <row r="33" spans="1:29" ht="17.100000000000001" customHeight="1" thickBot="1">
      <c r="B33" s="103"/>
      <c r="C33" s="108"/>
      <c r="D33" s="294"/>
      <c r="E33" s="295"/>
      <c r="F33" s="104"/>
      <c r="G33" s="105"/>
      <c r="H33" s="104"/>
      <c r="I33" s="105"/>
      <c r="J33" s="104"/>
      <c r="K33" s="105"/>
      <c r="L33" s="104"/>
      <c r="M33" s="110"/>
      <c r="N33" s="109"/>
      <c r="O33" s="103"/>
      <c r="P33" s="99"/>
      <c r="Q33" s="164" t="s">
        <v>24</v>
      </c>
      <c r="R33" s="347"/>
      <c r="S33" s="348"/>
      <c r="T33" s="102"/>
      <c r="U33" s="165" t="s">
        <v>27</v>
      </c>
      <c r="V33" s="268" t="s">
        <v>269</v>
      </c>
      <c r="W33" s="269"/>
      <c r="X33" s="102"/>
      <c r="Y33" s="102"/>
      <c r="Z33" s="454"/>
      <c r="AA33" s="454"/>
      <c r="AB33" s="99"/>
    </row>
    <row r="34" spans="1:29" ht="17.100000000000001" customHeight="1">
      <c r="B34" s="111"/>
      <c r="C34" s="121"/>
      <c r="D34" s="119"/>
      <c r="E34" s="120"/>
      <c r="F34" s="119"/>
      <c r="G34" s="120"/>
      <c r="H34" s="119"/>
      <c r="I34" s="120"/>
      <c r="J34" s="119"/>
      <c r="K34" s="120"/>
      <c r="L34" s="119"/>
      <c r="M34" s="113"/>
      <c r="N34" s="112"/>
      <c r="O34" s="111"/>
      <c r="P34" s="99"/>
      <c r="Q34" s="159" t="s">
        <v>25</v>
      </c>
      <c r="R34" s="254" t="s">
        <v>26</v>
      </c>
      <c r="S34" s="255"/>
      <c r="T34" s="102"/>
      <c r="U34" s="165" t="s">
        <v>29</v>
      </c>
      <c r="V34" s="268" t="s">
        <v>30</v>
      </c>
      <c r="W34" s="269"/>
      <c r="X34" s="102"/>
      <c r="Y34" s="102"/>
      <c r="Z34" s="454"/>
      <c r="AA34" s="454"/>
      <c r="AB34" s="99"/>
    </row>
    <row r="35" spans="1:29" ht="17.100000000000001" customHeight="1">
      <c r="B35" s="296">
        <f>N29+1</f>
        <v>26</v>
      </c>
      <c r="C35" s="297"/>
      <c r="D35" s="274">
        <f>B35+1</f>
        <v>27</v>
      </c>
      <c r="E35" s="275"/>
      <c r="F35" s="274">
        <f>D35+1</f>
        <v>28</v>
      </c>
      <c r="G35" s="275"/>
      <c r="H35" s="274">
        <f>F35+1</f>
        <v>29</v>
      </c>
      <c r="I35" s="275"/>
      <c r="J35" s="274">
        <f>H35+1</f>
        <v>30</v>
      </c>
      <c r="K35" s="275"/>
      <c r="L35" s="278"/>
      <c r="M35" s="277"/>
      <c r="N35" s="443"/>
      <c r="O35" s="442"/>
      <c r="P35" s="99"/>
      <c r="Q35" s="160" t="s">
        <v>27</v>
      </c>
      <c r="R35" s="256" t="s">
        <v>35</v>
      </c>
      <c r="S35" s="257"/>
      <c r="T35" s="102"/>
      <c r="U35" s="166" t="s">
        <v>43</v>
      </c>
      <c r="V35" s="463" t="s">
        <v>267</v>
      </c>
      <c r="W35" s="464"/>
      <c r="X35" s="102"/>
      <c r="Y35" s="102"/>
      <c r="Z35" s="454"/>
      <c r="AA35" s="454"/>
      <c r="AB35" s="99"/>
    </row>
    <row r="36" spans="1:29" ht="17.100000000000001" customHeight="1" thickBot="1">
      <c r="A36" s="21"/>
      <c r="B36" s="481"/>
      <c r="C36" s="295"/>
      <c r="D36" s="294"/>
      <c r="E36" s="295"/>
      <c r="F36" s="294"/>
      <c r="G36" s="295"/>
      <c r="H36" s="294"/>
      <c r="I36" s="295"/>
      <c r="J36" s="106"/>
      <c r="K36" s="116"/>
      <c r="L36" s="109"/>
      <c r="M36" s="110"/>
      <c r="N36" s="109"/>
      <c r="O36" s="103"/>
      <c r="P36" s="99"/>
      <c r="Q36" s="160" t="s">
        <v>29</v>
      </c>
      <c r="R36" s="256" t="s">
        <v>30</v>
      </c>
      <c r="S36" s="257"/>
      <c r="T36" s="102"/>
      <c r="U36" s="230" t="s">
        <v>32</v>
      </c>
      <c r="V36" s="321" t="s">
        <v>33</v>
      </c>
      <c r="W36" s="322"/>
      <c r="X36" s="102"/>
      <c r="Y36" s="102"/>
      <c r="Z36" s="458"/>
      <c r="AA36" s="458"/>
      <c r="AB36" s="99"/>
    </row>
    <row r="37" spans="1:29" ht="17.100000000000001" customHeight="1">
      <c r="A37" s="21"/>
      <c r="B37" s="108"/>
      <c r="C37" s="105"/>
      <c r="D37" s="294"/>
      <c r="E37" s="295"/>
      <c r="F37" s="294"/>
      <c r="G37" s="295"/>
      <c r="H37" s="294"/>
      <c r="I37" s="295"/>
      <c r="J37" s="109"/>
      <c r="K37" s="110"/>
      <c r="L37" s="109"/>
      <c r="M37" s="110"/>
      <c r="N37" s="109"/>
      <c r="O37" s="103"/>
      <c r="P37" s="99"/>
      <c r="Q37" s="161" t="s">
        <v>31</v>
      </c>
      <c r="R37" s="258" t="s">
        <v>242</v>
      </c>
      <c r="S37" s="259"/>
      <c r="T37" s="102"/>
      <c r="U37" s="102"/>
      <c r="V37" s="458"/>
      <c r="W37" s="458"/>
      <c r="X37" s="102"/>
      <c r="Y37" s="102"/>
      <c r="Z37" s="454"/>
      <c r="AA37" s="454"/>
      <c r="AB37" s="99"/>
    </row>
    <row r="38" spans="1:29" ht="17.100000000000001" customHeight="1">
      <c r="B38" s="108"/>
      <c r="C38" s="108"/>
      <c r="D38" s="294"/>
      <c r="E38" s="295"/>
      <c r="F38" s="294"/>
      <c r="G38" s="295"/>
      <c r="H38" s="104"/>
      <c r="I38" s="105"/>
      <c r="J38" s="109"/>
      <c r="K38" s="110"/>
      <c r="L38" s="109"/>
      <c r="M38" s="110"/>
      <c r="N38" s="109"/>
      <c r="O38" s="103"/>
      <c r="P38" s="99"/>
      <c r="Q38" s="193"/>
      <c r="R38" s="258" t="s">
        <v>261</v>
      </c>
      <c r="S38" s="259"/>
      <c r="T38" s="102"/>
      <c r="X38" s="102"/>
      <c r="Y38" s="102"/>
      <c r="Z38" s="455"/>
      <c r="AA38" s="455"/>
      <c r="AB38" s="99"/>
    </row>
    <row r="39" spans="1:29" ht="17.100000000000001" customHeight="1">
      <c r="B39" s="103"/>
      <c r="C39" s="103"/>
      <c r="D39" s="104"/>
      <c r="E39" s="105"/>
      <c r="F39" s="104"/>
      <c r="G39" s="105"/>
      <c r="H39" s="109"/>
      <c r="I39" s="110"/>
      <c r="J39" s="109"/>
      <c r="K39" s="110"/>
      <c r="L39" s="109"/>
      <c r="M39" s="110"/>
      <c r="N39" s="109"/>
      <c r="O39" s="103"/>
      <c r="P39" s="99"/>
      <c r="Q39" s="193"/>
      <c r="R39" s="258" t="s">
        <v>266</v>
      </c>
      <c r="S39" s="259"/>
      <c r="T39" s="102"/>
      <c r="X39" s="102"/>
      <c r="Y39" s="102"/>
      <c r="Z39" s="102"/>
      <c r="AA39" s="102"/>
      <c r="AB39" s="99"/>
    </row>
    <row r="40" spans="1:29" ht="17.100000000000001" customHeight="1">
      <c r="B40" s="111"/>
      <c r="C40" s="111"/>
      <c r="D40" s="112"/>
      <c r="E40" s="113"/>
      <c r="F40" s="112"/>
      <c r="G40" s="113"/>
      <c r="H40" s="112"/>
      <c r="I40" s="113"/>
      <c r="J40" s="112"/>
      <c r="K40" s="113"/>
      <c r="L40" s="112"/>
      <c r="M40" s="113"/>
      <c r="N40" s="112"/>
      <c r="O40" s="111"/>
      <c r="P40" s="99"/>
      <c r="Q40" s="193"/>
      <c r="R40" s="463" t="s">
        <v>267</v>
      </c>
      <c r="S40" s="464"/>
      <c r="T40" s="102"/>
      <c r="X40" s="102"/>
      <c r="Y40" s="102"/>
      <c r="Z40" s="102"/>
      <c r="AA40" s="102"/>
      <c r="AB40" s="99"/>
    </row>
    <row r="41" spans="1:29" ht="17.100000000000001" customHeight="1" thickBot="1"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99"/>
      <c r="Q41" s="162" t="s">
        <v>32</v>
      </c>
      <c r="R41" s="260" t="s">
        <v>33</v>
      </c>
      <c r="S41" s="261"/>
      <c r="T41" s="102"/>
      <c r="X41" s="102"/>
      <c r="Y41" s="102"/>
      <c r="Z41" s="102"/>
      <c r="AA41" s="102"/>
      <c r="AB41" s="99"/>
    </row>
    <row r="42" spans="1:29" ht="17.100000000000001" customHeight="1">
      <c r="B42" s="397" t="s">
        <v>127</v>
      </c>
      <c r="C42" s="398"/>
      <c r="D42" s="397" t="s">
        <v>128</v>
      </c>
      <c r="E42" s="399"/>
      <c r="F42" s="399" t="s">
        <v>129</v>
      </c>
      <c r="G42" s="399"/>
      <c r="H42" s="399" t="s">
        <v>130</v>
      </c>
      <c r="I42" s="399"/>
      <c r="J42" s="399" t="s">
        <v>131</v>
      </c>
      <c r="K42" s="399"/>
      <c r="L42" s="399" t="s">
        <v>132</v>
      </c>
      <c r="M42" s="399"/>
      <c r="N42" s="399" t="s">
        <v>133</v>
      </c>
      <c r="O42" s="398"/>
      <c r="P42" s="99"/>
      <c r="Q42" s="102"/>
      <c r="R42" s="455"/>
      <c r="S42" s="455"/>
      <c r="T42" s="102"/>
      <c r="X42" s="102"/>
      <c r="Y42" s="102"/>
      <c r="Z42" s="102"/>
      <c r="AA42" s="102"/>
      <c r="AB42" s="99"/>
      <c r="AC42" s="29"/>
    </row>
    <row r="43" spans="1:29" ht="17.100000000000001" customHeight="1" thickBot="1">
      <c r="B43" s="400" t="s">
        <v>134</v>
      </c>
      <c r="C43" s="401"/>
      <c r="D43" s="402" t="s">
        <v>142</v>
      </c>
      <c r="E43" s="403"/>
      <c r="F43" s="404" t="s">
        <v>214</v>
      </c>
      <c r="G43" s="404"/>
      <c r="H43" s="404" t="s">
        <v>241</v>
      </c>
      <c r="I43" s="404"/>
      <c r="J43" s="404" t="s">
        <v>279</v>
      </c>
      <c r="K43" s="404"/>
      <c r="L43" s="404"/>
      <c r="M43" s="404"/>
      <c r="N43" s="404"/>
      <c r="O43" s="405"/>
      <c r="P43" s="99"/>
      <c r="Q43" s="231"/>
      <c r="R43" s="232"/>
      <c r="S43" s="232"/>
      <c r="T43" s="102"/>
      <c r="X43" s="102"/>
      <c r="Y43" s="102"/>
      <c r="Z43" s="102"/>
      <c r="AA43" s="102"/>
      <c r="AB43" s="99"/>
    </row>
    <row r="44" spans="1:29" ht="17.100000000000001" customHeight="1" thickBot="1">
      <c r="B44" s="406" t="s">
        <v>135</v>
      </c>
      <c r="C44" s="407"/>
      <c r="D44" s="408">
        <v>4950000</v>
      </c>
      <c r="E44" s="409"/>
      <c r="F44" s="410">
        <v>3300000</v>
      </c>
      <c r="G44" s="409"/>
      <c r="H44" s="410">
        <v>2024000</v>
      </c>
      <c r="I44" s="409"/>
      <c r="J44" s="410">
        <v>2992000</v>
      </c>
      <c r="K44" s="409"/>
      <c r="L44" s="410"/>
      <c r="M44" s="409"/>
      <c r="N44" s="410"/>
      <c r="O44" s="407"/>
      <c r="P44" s="118"/>
      <c r="Q44" s="231"/>
      <c r="R44" s="462"/>
      <c r="S44" s="462"/>
      <c r="T44" s="102"/>
      <c r="X44" s="102"/>
      <c r="Y44" s="102"/>
      <c r="Z44" s="102"/>
      <c r="AA44" s="102"/>
      <c r="AB44" s="99"/>
    </row>
    <row r="45" spans="1:29" ht="18" thickBot="1"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99"/>
      <c r="Q45" s="231"/>
      <c r="R45" s="454"/>
      <c r="S45" s="454"/>
      <c r="T45" s="102"/>
      <c r="X45" s="102"/>
      <c r="Y45" s="102"/>
      <c r="Z45" s="102"/>
      <c r="AA45" s="102"/>
      <c r="AB45" s="99"/>
    </row>
    <row r="46" spans="1:29" ht="17.25">
      <c r="B46" s="397" t="s">
        <v>127</v>
      </c>
      <c r="C46" s="398"/>
      <c r="D46" s="397" t="s">
        <v>136</v>
      </c>
      <c r="E46" s="399"/>
      <c r="F46" s="399" t="s">
        <v>137</v>
      </c>
      <c r="G46" s="399"/>
      <c r="H46" s="399" t="s">
        <v>138</v>
      </c>
      <c r="I46" s="399"/>
      <c r="J46" s="399" t="s">
        <v>139</v>
      </c>
      <c r="K46" s="399"/>
      <c r="L46" s="399" t="s">
        <v>140</v>
      </c>
      <c r="M46" s="399"/>
      <c r="N46" s="399" t="s">
        <v>141</v>
      </c>
      <c r="O46" s="398"/>
      <c r="P46" s="99"/>
      <c r="Q46" s="231"/>
      <c r="R46" s="454"/>
      <c r="S46" s="454"/>
      <c r="T46" s="102"/>
      <c r="X46" s="102"/>
      <c r="Y46" s="102"/>
      <c r="Z46" s="102"/>
      <c r="AA46" s="102"/>
      <c r="AB46" s="99"/>
    </row>
    <row r="47" spans="1:29" ht="18" thickBot="1">
      <c r="B47" s="400" t="s">
        <v>134</v>
      </c>
      <c r="C47" s="401"/>
      <c r="D47" s="402"/>
      <c r="E47" s="403"/>
      <c r="F47" s="404"/>
      <c r="G47" s="404"/>
      <c r="H47" s="404"/>
      <c r="I47" s="404"/>
      <c r="J47" s="404"/>
      <c r="K47" s="404"/>
      <c r="L47" s="404"/>
      <c r="M47" s="404"/>
      <c r="N47" s="404"/>
      <c r="O47" s="405"/>
      <c r="P47" s="99"/>
      <c r="Q47" s="231"/>
      <c r="R47" s="454"/>
      <c r="S47" s="454"/>
      <c r="T47" s="102"/>
      <c r="X47" s="102"/>
      <c r="AB47" s="99"/>
    </row>
    <row r="48" spans="1:29" ht="18" thickBot="1">
      <c r="B48" s="406" t="s">
        <v>135</v>
      </c>
      <c r="C48" s="407"/>
      <c r="D48" s="408"/>
      <c r="E48" s="409"/>
      <c r="F48" s="410"/>
      <c r="G48" s="409"/>
      <c r="H48" s="410"/>
      <c r="I48" s="409"/>
      <c r="J48" s="410"/>
      <c r="K48" s="409"/>
      <c r="L48" s="410"/>
      <c r="M48" s="409"/>
      <c r="N48" s="410"/>
      <c r="O48" s="407"/>
      <c r="P48" s="99"/>
      <c r="Q48" s="231"/>
      <c r="R48" s="458"/>
      <c r="S48" s="458"/>
      <c r="T48" s="102"/>
      <c r="X48" s="102"/>
      <c r="AB48" s="99"/>
    </row>
    <row r="49" spans="2:19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Q49" s="231"/>
      <c r="R49" s="454"/>
      <c r="S49" s="454"/>
    </row>
    <row r="50" spans="2:19">
      <c r="Q50" s="231"/>
      <c r="R50" s="455"/>
      <c r="S50" s="455"/>
    </row>
  </sheetData>
  <mergeCells count="245">
    <mergeCell ref="B42:C42"/>
    <mergeCell ref="D42:E42"/>
    <mergeCell ref="F42:G42"/>
    <mergeCell ref="H42:I42"/>
    <mergeCell ref="B43:C43"/>
    <mergeCell ref="B44:C44"/>
    <mergeCell ref="Z18:AA18"/>
    <mergeCell ref="B36:C36"/>
    <mergeCell ref="D37:E37"/>
    <mergeCell ref="F37:G37"/>
    <mergeCell ref="H36:I36"/>
    <mergeCell ref="H37:I37"/>
    <mergeCell ref="D36:E36"/>
    <mergeCell ref="F36:G36"/>
    <mergeCell ref="V35:W35"/>
    <mergeCell ref="V36:W36"/>
    <mergeCell ref="V37:W37"/>
    <mergeCell ref="B35:C35"/>
    <mergeCell ref="D35:E35"/>
    <mergeCell ref="F35:G35"/>
    <mergeCell ref="H35:I35"/>
    <mergeCell ref="D33:E33"/>
    <mergeCell ref="F29:G29"/>
    <mergeCell ref="Z30:AA30"/>
    <mergeCell ref="B29:C29"/>
    <mergeCell ref="D29:E29"/>
    <mergeCell ref="D24:E24"/>
    <mergeCell ref="L29:M29"/>
    <mergeCell ref="V18:W18"/>
    <mergeCell ref="R35:S35"/>
    <mergeCell ref="V19:W19"/>
    <mergeCell ref="V27:W27"/>
    <mergeCell ref="V29:W29"/>
    <mergeCell ref="R30:S30"/>
    <mergeCell ref="V32:W32"/>
    <mergeCell ref="B23:C23"/>
    <mergeCell ref="D23:E23"/>
    <mergeCell ref="F23:G23"/>
    <mergeCell ref="H23:I23"/>
    <mergeCell ref="D18:E18"/>
    <mergeCell ref="D30:E30"/>
    <mergeCell ref="D32:E32"/>
    <mergeCell ref="D31:E31"/>
    <mergeCell ref="H31:I31"/>
    <mergeCell ref="H30:I30"/>
    <mergeCell ref="F31:G31"/>
    <mergeCell ref="H32:I32"/>
    <mergeCell ref="L35:M35"/>
    <mergeCell ref="F14:G14"/>
    <mergeCell ref="H14:I14"/>
    <mergeCell ref="H15:I15"/>
    <mergeCell ref="J12:K12"/>
    <mergeCell ref="V20:W20"/>
    <mergeCell ref="V28:W28"/>
    <mergeCell ref="R19:S19"/>
    <mergeCell ref="V31:W31"/>
    <mergeCell ref="V21:W21"/>
    <mergeCell ref="R28:S28"/>
    <mergeCell ref="R29:S29"/>
    <mergeCell ref="V23:W23"/>
    <mergeCell ref="V24:W24"/>
    <mergeCell ref="V25:W25"/>
    <mergeCell ref="V26:W26"/>
    <mergeCell ref="R22:S22"/>
    <mergeCell ref="L7:M7"/>
    <mergeCell ref="J19:K19"/>
    <mergeCell ref="H17:I17"/>
    <mergeCell ref="H18:I18"/>
    <mergeCell ref="H19:I19"/>
    <mergeCell ref="J16:K16"/>
    <mergeCell ref="J17:K17"/>
    <mergeCell ref="J18:K18"/>
    <mergeCell ref="D16:E16"/>
    <mergeCell ref="D17:E17"/>
    <mergeCell ref="D19:E19"/>
    <mergeCell ref="F16:G16"/>
    <mergeCell ref="F17:G17"/>
    <mergeCell ref="J15:K15"/>
    <mergeCell ref="J7:K7"/>
    <mergeCell ref="H9:I9"/>
    <mergeCell ref="H10:I10"/>
    <mergeCell ref="J10:K10"/>
    <mergeCell ref="H11:I11"/>
    <mergeCell ref="J11:K11"/>
    <mergeCell ref="H7:I7"/>
    <mergeCell ref="H8:I8"/>
    <mergeCell ref="D15:E15"/>
    <mergeCell ref="F15:G15"/>
    <mergeCell ref="J8:K8"/>
    <mergeCell ref="F25:G25"/>
    <mergeCell ref="D26:E26"/>
    <mergeCell ref="F26:G26"/>
    <mergeCell ref="H26:I26"/>
    <mergeCell ref="H24:I24"/>
    <mergeCell ref="L14:M14"/>
    <mergeCell ref="B2:O3"/>
    <mergeCell ref="J14:K14"/>
    <mergeCell ref="F9:G9"/>
    <mergeCell ref="F7:G7"/>
    <mergeCell ref="F8:G8"/>
    <mergeCell ref="D6:E6"/>
    <mergeCell ref="F6:G6"/>
    <mergeCell ref="H6:I6"/>
    <mergeCell ref="F24:G24"/>
    <mergeCell ref="H20:I20"/>
    <mergeCell ref="N14:O14"/>
    <mergeCell ref="J6:K6"/>
    <mergeCell ref="H16:I16"/>
    <mergeCell ref="B14:C14"/>
    <mergeCell ref="D14:E14"/>
    <mergeCell ref="F18:G18"/>
    <mergeCell ref="F19:G19"/>
    <mergeCell ref="L6:M6"/>
    <mergeCell ref="N6:O6"/>
    <mergeCell ref="Q2:S2"/>
    <mergeCell ref="Q3:S4"/>
    <mergeCell ref="B4:O4"/>
    <mergeCell ref="B5:C5"/>
    <mergeCell ref="D5:E5"/>
    <mergeCell ref="F5:G5"/>
    <mergeCell ref="H5:I5"/>
    <mergeCell ref="J5:K5"/>
    <mergeCell ref="L5:M5"/>
    <mergeCell ref="N5:O5"/>
    <mergeCell ref="B6:C6"/>
    <mergeCell ref="R49:S49"/>
    <mergeCell ref="R50:S50"/>
    <mergeCell ref="R33:S33"/>
    <mergeCell ref="V8:W8"/>
    <mergeCell ref="V9:W9"/>
    <mergeCell ref="V10:W10"/>
    <mergeCell ref="V12:W12"/>
    <mergeCell ref="V13:W13"/>
    <mergeCell ref="R31:S31"/>
    <mergeCell ref="R36:S36"/>
    <mergeCell ref="R38:S38"/>
    <mergeCell ref="V30:W30"/>
    <mergeCell ref="R18:S18"/>
    <mergeCell ref="R20:S20"/>
    <mergeCell ref="R21:S21"/>
    <mergeCell ref="R24:S24"/>
    <mergeCell ref="R25:S25"/>
    <mergeCell ref="R26:S26"/>
    <mergeCell ref="R27:S27"/>
    <mergeCell ref="V14:W14"/>
    <mergeCell ref="R48:S48"/>
    <mergeCell ref="R8:S8"/>
    <mergeCell ref="R9:S9"/>
    <mergeCell ref="R39:S39"/>
    <mergeCell ref="D20:E20"/>
    <mergeCell ref="R47:S47"/>
    <mergeCell ref="R46:S46"/>
    <mergeCell ref="F44:G44"/>
    <mergeCell ref="H29:I29"/>
    <mergeCell ref="H25:I25"/>
    <mergeCell ref="J20:K20"/>
    <mergeCell ref="D44:E44"/>
    <mergeCell ref="F30:G30"/>
    <mergeCell ref="D25:E25"/>
    <mergeCell ref="R45:S45"/>
    <mergeCell ref="R44:S44"/>
    <mergeCell ref="R37:S37"/>
    <mergeCell ref="R41:S41"/>
    <mergeCell ref="H44:I44"/>
    <mergeCell ref="L44:M44"/>
    <mergeCell ref="N44:O44"/>
    <mergeCell ref="L42:M42"/>
    <mergeCell ref="N42:O42"/>
    <mergeCell ref="F20:G20"/>
    <mergeCell ref="D21:E21"/>
    <mergeCell ref="D22:E22"/>
    <mergeCell ref="R34:S34"/>
    <mergeCell ref="N29:O29"/>
    <mergeCell ref="J44:K44"/>
    <mergeCell ref="J23:K23"/>
    <mergeCell ref="L23:M23"/>
    <mergeCell ref="N23:O23"/>
    <mergeCell ref="J24:K24"/>
    <mergeCell ref="J29:K29"/>
    <mergeCell ref="J25:K25"/>
    <mergeCell ref="N35:O35"/>
    <mergeCell ref="J35:K35"/>
    <mergeCell ref="J30:K30"/>
    <mergeCell ref="J31:K31"/>
    <mergeCell ref="J42:K42"/>
    <mergeCell ref="Z15:AA15"/>
    <mergeCell ref="Y6:Y13"/>
    <mergeCell ref="V15:W15"/>
    <mergeCell ref="R15:S15"/>
    <mergeCell ref="R16:S16"/>
    <mergeCell ref="R17:S17"/>
    <mergeCell ref="V11:W11"/>
    <mergeCell ref="V16:W16"/>
    <mergeCell ref="V17:W17"/>
    <mergeCell ref="Z16:AA16"/>
    <mergeCell ref="Z17:AA17"/>
    <mergeCell ref="Z14:AA14"/>
    <mergeCell ref="V6:W6"/>
    <mergeCell ref="V7:W7"/>
    <mergeCell ref="R10:S10"/>
    <mergeCell ref="R6:S6"/>
    <mergeCell ref="R7:S7"/>
    <mergeCell ref="R12:S12"/>
    <mergeCell ref="R13:S13"/>
    <mergeCell ref="R11:S11"/>
    <mergeCell ref="Z32:AA32"/>
    <mergeCell ref="Z33:AA33"/>
    <mergeCell ref="Z34:AA34"/>
    <mergeCell ref="Z35:AA35"/>
    <mergeCell ref="Z36:AA36"/>
    <mergeCell ref="Z37:AA37"/>
    <mergeCell ref="D43:E43"/>
    <mergeCell ref="F43:G43"/>
    <mergeCell ref="H43:I43"/>
    <mergeCell ref="J43:K43"/>
    <mergeCell ref="L43:M43"/>
    <mergeCell ref="N43:O43"/>
    <mergeCell ref="Z38:AA38"/>
    <mergeCell ref="D38:E38"/>
    <mergeCell ref="F38:G38"/>
    <mergeCell ref="V33:W33"/>
    <mergeCell ref="V34:W34"/>
    <mergeCell ref="R42:S42"/>
    <mergeCell ref="R40:S40"/>
    <mergeCell ref="B48:C48"/>
    <mergeCell ref="D48:E48"/>
    <mergeCell ref="F48:G48"/>
    <mergeCell ref="H48:I48"/>
    <mergeCell ref="J48:K48"/>
    <mergeCell ref="L48:M48"/>
    <mergeCell ref="N48:O48"/>
    <mergeCell ref="B46:C46"/>
    <mergeCell ref="F46:G46"/>
    <mergeCell ref="H46:I46"/>
    <mergeCell ref="L46:M46"/>
    <mergeCell ref="N46:O46"/>
    <mergeCell ref="B47:C47"/>
    <mergeCell ref="F47:G47"/>
    <mergeCell ref="H47:I47"/>
    <mergeCell ref="L47:M47"/>
    <mergeCell ref="N47:O47"/>
    <mergeCell ref="J47:K47"/>
    <mergeCell ref="D47:E47"/>
    <mergeCell ref="D46:E46"/>
    <mergeCell ref="J46:K46"/>
  </mergeCells>
  <phoneticPr fontId="1" type="noConversion"/>
  <pageMargins left="0.25" right="0.25" top="0.75" bottom="0.75" header="0.3" footer="0.3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1"/>
  <sheetViews>
    <sheetView view="pageBreakPreview" topLeftCell="A3" zoomScale="70" zoomScaleNormal="85" zoomScaleSheetLayoutView="70" workbookViewId="0">
      <selection activeCell="B45" sqref="B45:O51"/>
    </sheetView>
  </sheetViews>
  <sheetFormatPr defaultColWidth="9" defaultRowHeight="16.5"/>
  <cols>
    <col min="1" max="1" width="5.625" style="1" customWidth="1"/>
    <col min="2" max="13" width="9" style="1"/>
    <col min="14" max="15" width="9" style="1" customWidth="1"/>
    <col min="16" max="16" width="5.625" style="1" customWidth="1"/>
    <col min="17" max="19" width="10.625" style="1" customWidth="1"/>
    <col min="20" max="20" width="5.625" style="1" customWidth="1"/>
    <col min="21" max="23" width="10.625" style="1" customWidth="1"/>
    <col min="24" max="24" width="5.625" style="1" customWidth="1"/>
    <col min="25" max="27" width="10.625" style="1" customWidth="1"/>
    <col min="28" max="28" width="5.625" style="1" customWidth="1"/>
    <col min="29" max="30" width="9" style="1"/>
    <col min="31" max="31" width="9" style="1" customWidth="1"/>
    <col min="32" max="16384" width="9" style="1"/>
  </cols>
  <sheetData>
    <row r="1" spans="1:29" ht="17.25" thickBo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29" ht="16.5" customHeight="1">
      <c r="A2" s="31"/>
      <c r="B2" s="504" t="s">
        <v>8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31"/>
      <c r="Q2" s="506" t="s">
        <v>0</v>
      </c>
      <c r="R2" s="507"/>
      <c r="S2" s="508"/>
      <c r="T2" s="31"/>
      <c r="U2" s="31"/>
      <c r="Y2" s="31"/>
      <c r="Z2" s="31"/>
      <c r="AA2" s="31"/>
      <c r="AB2" s="31"/>
    </row>
    <row r="3" spans="1:29" ht="16.5" customHeight="1" thickBot="1">
      <c r="A3" s="31"/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31"/>
      <c r="Q3" s="509">
        <f>R46</f>
        <v>1078000</v>
      </c>
      <c r="R3" s="510"/>
      <c r="S3" s="511"/>
      <c r="T3" s="31"/>
      <c r="U3" s="31"/>
      <c r="Y3" s="31"/>
      <c r="Z3" s="31"/>
      <c r="AA3" s="31"/>
      <c r="AB3" s="31"/>
    </row>
    <row r="4" spans="1:29" ht="21.75" customHeight="1" thickBot="1">
      <c r="A4" s="31"/>
      <c r="B4" s="515" t="s">
        <v>17</v>
      </c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515"/>
      <c r="P4" s="31"/>
      <c r="Q4" s="512"/>
      <c r="R4" s="513"/>
      <c r="S4" s="514"/>
      <c r="T4" s="31"/>
      <c r="U4" s="31"/>
      <c r="Y4" s="31"/>
      <c r="Z4" s="31"/>
      <c r="AA4" s="31"/>
      <c r="AB4" s="31"/>
    </row>
    <row r="5" spans="1:29" ht="30" customHeight="1" thickBot="1">
      <c r="A5" s="31"/>
      <c r="B5" s="516" t="s">
        <v>4</v>
      </c>
      <c r="C5" s="517"/>
      <c r="D5" s="518" t="s">
        <v>1</v>
      </c>
      <c r="E5" s="518"/>
      <c r="F5" s="518" t="s">
        <v>5</v>
      </c>
      <c r="G5" s="518"/>
      <c r="H5" s="518" t="s">
        <v>6</v>
      </c>
      <c r="I5" s="518"/>
      <c r="J5" s="518" t="s">
        <v>2</v>
      </c>
      <c r="K5" s="518"/>
      <c r="L5" s="518" t="s">
        <v>3</v>
      </c>
      <c r="M5" s="518"/>
      <c r="N5" s="519" t="s">
        <v>7</v>
      </c>
      <c r="O5" s="520"/>
      <c r="P5" s="31"/>
      <c r="Q5" s="32"/>
      <c r="R5" s="32"/>
      <c r="S5" s="32"/>
      <c r="T5" s="33"/>
      <c r="U5" s="31"/>
      <c r="Y5" s="31"/>
      <c r="Z5" s="31"/>
      <c r="AA5" s="31"/>
      <c r="AB5" s="31"/>
    </row>
    <row r="6" spans="1:29" ht="17.100000000000001" customHeight="1" thickBot="1">
      <c r="A6" s="31"/>
      <c r="B6" s="497"/>
      <c r="C6" s="498"/>
      <c r="D6" s="499"/>
      <c r="E6" s="498"/>
      <c r="F6" s="499"/>
      <c r="G6" s="498"/>
      <c r="H6" s="499"/>
      <c r="I6" s="498"/>
      <c r="J6" s="499"/>
      <c r="K6" s="498"/>
      <c r="L6" s="500">
        <f t="shared" ref="L6" si="0">J6+1</f>
        <v>1</v>
      </c>
      <c r="M6" s="501"/>
      <c r="N6" s="502">
        <f t="shared" ref="N6" si="1">L6+1</f>
        <v>2</v>
      </c>
      <c r="O6" s="503"/>
      <c r="P6" s="31"/>
      <c r="Q6" s="158" t="s">
        <v>24</v>
      </c>
      <c r="R6" s="470" t="s">
        <v>287</v>
      </c>
      <c r="S6" s="471"/>
      <c r="T6" s="88"/>
      <c r="U6" s="454"/>
      <c r="V6" s="235"/>
      <c r="W6" s="122"/>
      <c r="Y6" s="88"/>
      <c r="Z6" s="17"/>
      <c r="AA6" s="17"/>
      <c r="AB6" s="31"/>
    </row>
    <row r="7" spans="1:29" ht="17.100000000000001" customHeight="1">
      <c r="A7" s="31"/>
      <c r="B7" s="34"/>
      <c r="C7" s="34"/>
      <c r="D7" s="37"/>
      <c r="E7" s="38"/>
      <c r="F7" s="35"/>
      <c r="G7" s="36"/>
      <c r="H7" s="35"/>
      <c r="I7" s="36"/>
      <c r="J7" s="494"/>
      <c r="K7" s="495"/>
      <c r="L7" s="37"/>
      <c r="M7" s="34"/>
      <c r="N7" s="37"/>
      <c r="O7" s="34"/>
      <c r="P7" s="31"/>
      <c r="Q7" s="159" t="s">
        <v>25</v>
      </c>
      <c r="R7" s="254" t="s">
        <v>248</v>
      </c>
      <c r="S7" s="255"/>
      <c r="T7" s="88"/>
      <c r="U7" s="454"/>
      <c r="V7" s="235"/>
      <c r="W7" s="122"/>
      <c r="Y7" s="88"/>
      <c r="Z7" s="489"/>
      <c r="AA7" s="489"/>
      <c r="AB7" s="15"/>
      <c r="AC7" s="8"/>
    </row>
    <row r="8" spans="1:29" ht="17.100000000000001" customHeight="1">
      <c r="A8" s="31"/>
      <c r="B8" s="34"/>
      <c r="C8" s="34"/>
      <c r="D8" s="37"/>
      <c r="E8" s="38"/>
      <c r="F8" s="37"/>
      <c r="G8" s="38"/>
      <c r="H8" s="37"/>
      <c r="I8" s="38"/>
      <c r="J8" s="494"/>
      <c r="K8" s="495"/>
      <c r="L8" s="37"/>
      <c r="M8" s="34"/>
      <c r="N8" s="37"/>
      <c r="O8" s="34"/>
      <c r="P8" s="31"/>
      <c r="Q8" s="160" t="s">
        <v>27</v>
      </c>
      <c r="R8" s="256" t="s">
        <v>254</v>
      </c>
      <c r="S8" s="257"/>
      <c r="T8" s="88"/>
      <c r="U8" s="454"/>
      <c r="V8" s="235"/>
      <c r="W8" s="122"/>
      <c r="Y8" s="88"/>
      <c r="Z8" s="483"/>
      <c r="AA8" s="483"/>
      <c r="AB8" s="15"/>
      <c r="AC8" s="8"/>
    </row>
    <row r="9" spans="1:29" ht="17.100000000000001" customHeight="1">
      <c r="A9" s="31"/>
      <c r="B9" s="34"/>
      <c r="C9" s="34"/>
      <c r="D9" s="37"/>
      <c r="E9" s="38"/>
      <c r="F9" s="37"/>
      <c r="G9" s="38"/>
      <c r="H9" s="37"/>
      <c r="I9" s="38"/>
      <c r="J9" s="89"/>
      <c r="K9" s="90"/>
      <c r="L9" s="37"/>
      <c r="M9" s="38"/>
      <c r="N9" s="37"/>
      <c r="O9" s="34"/>
      <c r="P9" s="31"/>
      <c r="Q9" s="160" t="s">
        <v>29</v>
      </c>
      <c r="R9" s="256" t="s">
        <v>30</v>
      </c>
      <c r="S9" s="257"/>
      <c r="T9" s="88"/>
      <c r="U9" s="454"/>
      <c r="V9" s="235"/>
      <c r="W9" s="122"/>
      <c r="Y9" s="88"/>
      <c r="Z9" s="483"/>
      <c r="AA9" s="483"/>
      <c r="AB9" s="15"/>
      <c r="AC9" s="8"/>
    </row>
    <row r="10" spans="1:29" ht="17.100000000000001" customHeight="1">
      <c r="A10" s="31"/>
      <c r="B10" s="34"/>
      <c r="C10" s="34"/>
      <c r="D10" s="37"/>
      <c r="E10" s="38"/>
      <c r="F10" s="37"/>
      <c r="G10" s="38"/>
      <c r="H10" s="37"/>
      <c r="I10" s="38"/>
      <c r="J10" s="37"/>
      <c r="K10" s="38"/>
      <c r="L10" s="37"/>
      <c r="M10" s="38"/>
      <c r="N10" s="37"/>
      <c r="O10" s="34"/>
      <c r="P10" s="31"/>
      <c r="Q10" s="161" t="s">
        <v>250</v>
      </c>
      <c r="R10" s="463" t="s">
        <v>280</v>
      </c>
      <c r="S10" s="464"/>
      <c r="T10" s="88"/>
      <c r="U10" s="454"/>
      <c r="V10" s="235"/>
      <c r="W10" s="122"/>
      <c r="Y10" s="88"/>
      <c r="Z10" s="483"/>
      <c r="AA10" s="483"/>
      <c r="AB10" s="15"/>
      <c r="AC10" s="8"/>
    </row>
    <row r="11" spans="1:29" ht="17.100000000000001" customHeight="1">
      <c r="A11" s="31"/>
      <c r="B11" s="40"/>
      <c r="C11" s="40"/>
      <c r="D11" s="41"/>
      <c r="E11" s="42"/>
      <c r="F11" s="41"/>
      <c r="G11" s="42"/>
      <c r="H11" s="41"/>
      <c r="I11" s="42"/>
      <c r="J11" s="41"/>
      <c r="K11" s="42"/>
      <c r="L11" s="41"/>
      <c r="M11" s="42"/>
      <c r="N11" s="41"/>
      <c r="O11" s="40"/>
      <c r="P11" s="31"/>
      <c r="Q11" s="193"/>
      <c r="R11" s="463" t="s">
        <v>285</v>
      </c>
      <c r="S11" s="464"/>
      <c r="T11" s="88"/>
      <c r="U11" s="454"/>
      <c r="V11" s="235"/>
      <c r="W11" s="122"/>
      <c r="Y11" s="88"/>
      <c r="Z11" s="484"/>
      <c r="AA11" s="484"/>
      <c r="AB11" s="15"/>
      <c r="AC11" s="8"/>
    </row>
    <row r="12" spans="1:29" ht="17.100000000000001" customHeight="1" thickBot="1">
      <c r="A12" s="31"/>
      <c r="B12" s="521">
        <f>N6+1</f>
        <v>3</v>
      </c>
      <c r="C12" s="522"/>
      <c r="D12" s="523">
        <f>B12+1</f>
        <v>4</v>
      </c>
      <c r="E12" s="524"/>
      <c r="F12" s="525">
        <f>D12+1</f>
        <v>5</v>
      </c>
      <c r="G12" s="522"/>
      <c r="H12" s="500">
        <f t="shared" ref="H12" si="2">F12+1</f>
        <v>6</v>
      </c>
      <c r="I12" s="501"/>
      <c r="J12" s="500">
        <f t="shared" ref="J12" si="3">H12+1</f>
        <v>7</v>
      </c>
      <c r="K12" s="501"/>
      <c r="L12" s="500">
        <f t="shared" ref="L12" si="4">J12+1</f>
        <v>8</v>
      </c>
      <c r="M12" s="501"/>
      <c r="N12" s="502">
        <f t="shared" ref="N12" si="5">L12+1</f>
        <v>9</v>
      </c>
      <c r="O12" s="503"/>
      <c r="P12" s="31"/>
      <c r="Q12" s="162" t="s">
        <v>32</v>
      </c>
      <c r="R12" s="321" t="s">
        <v>33</v>
      </c>
      <c r="S12" s="322"/>
      <c r="T12" s="88"/>
      <c r="U12" s="454"/>
      <c r="V12" s="235"/>
      <c r="W12" s="122"/>
      <c r="Y12" s="88"/>
      <c r="Z12" s="483"/>
      <c r="AA12" s="483"/>
      <c r="AB12" s="15"/>
      <c r="AC12" s="8"/>
    </row>
    <row r="13" spans="1:29" ht="17.100000000000001" customHeight="1" thickBot="1">
      <c r="A13" s="72"/>
      <c r="B13" s="43"/>
      <c r="C13" s="36"/>
      <c r="D13" s="35"/>
      <c r="E13" s="36"/>
      <c r="F13" s="494"/>
      <c r="G13" s="495"/>
      <c r="H13" s="494"/>
      <c r="I13" s="495"/>
      <c r="J13" s="494"/>
      <c r="K13" s="495"/>
      <c r="L13" s="478" t="s">
        <v>256</v>
      </c>
      <c r="M13" s="350"/>
      <c r="N13" s="89"/>
      <c r="O13" s="60"/>
      <c r="P13" s="31"/>
      <c r="Q13" s="163" t="s">
        <v>252</v>
      </c>
      <c r="R13" s="264">
        <v>46121</v>
      </c>
      <c r="S13" s="265"/>
      <c r="T13" s="88"/>
      <c r="U13" s="454"/>
      <c r="V13" s="235"/>
      <c r="W13" s="122"/>
      <c r="Y13" s="88"/>
      <c r="Z13" s="476"/>
      <c r="AA13" s="476"/>
      <c r="AB13" s="15"/>
      <c r="AC13" s="8"/>
    </row>
    <row r="14" spans="1:29" ht="17.100000000000001" customHeight="1" thickBot="1">
      <c r="A14" s="72"/>
      <c r="B14" s="60"/>
      <c r="C14" s="90"/>
      <c r="D14" s="60"/>
      <c r="E14" s="60"/>
      <c r="F14" s="494"/>
      <c r="G14" s="495"/>
      <c r="H14" s="494"/>
      <c r="I14" s="495"/>
      <c r="J14" s="89"/>
      <c r="K14" s="90"/>
      <c r="L14" s="89"/>
      <c r="M14" s="90"/>
      <c r="N14" s="89"/>
      <c r="O14" s="60"/>
      <c r="P14" s="31"/>
      <c r="Q14" s="88"/>
      <c r="R14" s="483"/>
      <c r="S14" s="483"/>
      <c r="T14" s="88"/>
      <c r="U14" s="454"/>
      <c r="V14" s="235"/>
      <c r="W14" s="122"/>
      <c r="Y14" s="88"/>
      <c r="Z14" s="88"/>
      <c r="AA14" s="88"/>
      <c r="AB14" s="15"/>
      <c r="AC14" s="8"/>
    </row>
    <row r="15" spans="1:29" ht="17.100000000000001" customHeight="1" thickBot="1">
      <c r="A15" s="31"/>
      <c r="B15" s="60"/>
      <c r="C15" s="90"/>
      <c r="D15" s="60"/>
      <c r="E15" s="90"/>
      <c r="F15" s="89"/>
      <c r="G15" s="90"/>
      <c r="H15" s="89"/>
      <c r="I15" s="90"/>
      <c r="J15" s="89"/>
      <c r="K15" s="90"/>
      <c r="L15" s="89"/>
      <c r="M15" s="90"/>
      <c r="N15" s="89"/>
      <c r="O15" s="60"/>
      <c r="P15" s="31"/>
      <c r="Q15" s="169" t="s">
        <v>39</v>
      </c>
      <c r="R15" s="460" t="s">
        <v>281</v>
      </c>
      <c r="S15" s="461"/>
      <c r="T15" s="88"/>
      <c r="U15" s="454"/>
      <c r="V15" s="236"/>
      <c r="W15" s="122"/>
      <c r="Y15" s="88"/>
      <c r="Z15" s="482"/>
      <c r="AA15" s="482"/>
      <c r="AB15" s="31"/>
    </row>
    <row r="16" spans="1:29" ht="17.100000000000001" customHeight="1">
      <c r="A16" s="31"/>
      <c r="B16" s="60"/>
      <c r="C16" s="60"/>
      <c r="D16" s="89"/>
      <c r="E16" s="90"/>
      <c r="F16" s="89"/>
      <c r="G16" s="90"/>
      <c r="H16" s="89"/>
      <c r="I16" s="90"/>
      <c r="J16" s="89"/>
      <c r="K16" s="90"/>
      <c r="L16" s="89"/>
      <c r="M16" s="90"/>
      <c r="N16" s="89"/>
      <c r="O16" s="60"/>
      <c r="P16" s="31"/>
      <c r="Q16" s="159" t="s">
        <v>25</v>
      </c>
      <c r="R16" s="254" t="s">
        <v>26</v>
      </c>
      <c r="S16" s="255"/>
      <c r="T16" s="88"/>
      <c r="U16" s="454"/>
      <c r="V16" s="236"/>
      <c r="W16" s="122"/>
      <c r="Y16" s="88"/>
      <c r="Z16" s="483"/>
      <c r="AA16" s="483"/>
      <c r="AB16" s="31"/>
    </row>
    <row r="17" spans="1:28" ht="17.100000000000001" customHeight="1">
      <c r="A17" s="31"/>
      <c r="B17" s="61"/>
      <c r="C17" s="61"/>
      <c r="D17" s="91"/>
      <c r="E17" s="92"/>
      <c r="F17" s="91"/>
      <c r="G17" s="92"/>
      <c r="H17" s="91"/>
      <c r="I17" s="92"/>
      <c r="J17" s="91"/>
      <c r="K17" s="92"/>
      <c r="L17" s="91"/>
      <c r="M17" s="92"/>
      <c r="N17" s="91"/>
      <c r="O17" s="61"/>
      <c r="P17" s="31"/>
      <c r="Q17" s="165" t="s">
        <v>27</v>
      </c>
      <c r="R17" s="268" t="s">
        <v>217</v>
      </c>
      <c r="S17" s="269"/>
      <c r="T17" s="88"/>
      <c r="U17" s="454"/>
      <c r="V17" s="236"/>
      <c r="W17" s="122"/>
      <c r="Y17" s="88"/>
      <c r="Z17" s="483"/>
      <c r="AA17" s="483"/>
      <c r="AB17" s="31"/>
    </row>
    <row r="18" spans="1:28" ht="17.100000000000001" customHeight="1">
      <c r="A18" s="31"/>
      <c r="B18" s="521">
        <f>N12+1</f>
        <v>10</v>
      </c>
      <c r="C18" s="522"/>
      <c r="D18" s="500">
        <f>B18+1</f>
        <v>11</v>
      </c>
      <c r="E18" s="501"/>
      <c r="F18" s="500">
        <f>D18+1</f>
        <v>12</v>
      </c>
      <c r="G18" s="501"/>
      <c r="H18" s="500">
        <f t="shared" ref="H18" si="6">F18+1</f>
        <v>13</v>
      </c>
      <c r="I18" s="501"/>
      <c r="J18" s="500">
        <f t="shared" ref="J18" si="7">H18+1</f>
        <v>14</v>
      </c>
      <c r="K18" s="501"/>
      <c r="L18" s="500">
        <f t="shared" ref="L18" si="8">J18+1</f>
        <v>15</v>
      </c>
      <c r="M18" s="501"/>
      <c r="N18" s="502">
        <f t="shared" ref="N18" si="9">L18+1</f>
        <v>16</v>
      </c>
      <c r="O18" s="503"/>
      <c r="P18" s="31"/>
      <c r="Q18" s="165" t="s">
        <v>29</v>
      </c>
      <c r="R18" s="268" t="s">
        <v>30</v>
      </c>
      <c r="S18" s="269"/>
      <c r="T18" s="88"/>
      <c r="U18" s="454"/>
      <c r="V18" s="236"/>
      <c r="W18" s="122"/>
      <c r="Y18" s="88"/>
      <c r="Z18" s="483"/>
      <c r="AA18" s="483"/>
      <c r="AB18" s="31"/>
    </row>
    <row r="19" spans="1:28" ht="17.100000000000001" customHeight="1">
      <c r="A19" s="31"/>
      <c r="B19" s="60"/>
      <c r="C19" s="90"/>
      <c r="D19" s="494"/>
      <c r="E19" s="495"/>
      <c r="F19" s="315" t="s">
        <v>49</v>
      </c>
      <c r="G19" s="316"/>
      <c r="H19" s="343" t="s">
        <v>65</v>
      </c>
      <c r="I19" s="344"/>
      <c r="J19" s="315" t="s">
        <v>49</v>
      </c>
      <c r="K19" s="316"/>
      <c r="L19" s="35"/>
      <c r="M19" s="36"/>
      <c r="N19" s="35"/>
      <c r="O19" s="43"/>
      <c r="P19" s="31"/>
      <c r="Q19" s="166" t="s">
        <v>43</v>
      </c>
      <c r="R19" s="258" t="s">
        <v>282</v>
      </c>
      <c r="S19" s="259"/>
      <c r="T19" s="88"/>
      <c r="U19" s="454"/>
      <c r="V19" s="237"/>
      <c r="W19" s="122"/>
      <c r="Y19" s="88"/>
      <c r="Z19" s="484"/>
      <c r="AA19" s="484"/>
      <c r="AB19" s="31"/>
    </row>
    <row r="20" spans="1:28" ht="17.100000000000001" customHeight="1" thickBot="1">
      <c r="A20" s="31"/>
      <c r="B20" s="60"/>
      <c r="C20" s="60"/>
      <c r="D20" s="494"/>
      <c r="E20" s="495"/>
      <c r="F20" s="494"/>
      <c r="G20" s="495"/>
      <c r="H20" s="494"/>
      <c r="I20" s="495"/>
      <c r="J20" s="478" t="s">
        <v>256</v>
      </c>
      <c r="K20" s="350"/>
      <c r="L20" s="89"/>
      <c r="M20" s="90"/>
      <c r="N20" s="89"/>
      <c r="O20" s="60"/>
      <c r="P20" s="31"/>
      <c r="Q20" s="165" t="s">
        <v>32</v>
      </c>
      <c r="R20" s="321" t="s">
        <v>33</v>
      </c>
      <c r="S20" s="322"/>
      <c r="T20" s="88"/>
      <c r="U20" s="454"/>
      <c r="V20" s="237"/>
      <c r="W20" s="122"/>
      <c r="Y20" s="88"/>
      <c r="Z20" s="483"/>
      <c r="AA20" s="483"/>
      <c r="AB20" s="31"/>
    </row>
    <row r="21" spans="1:28" ht="17.100000000000001" customHeight="1" thickBot="1">
      <c r="A21" s="31"/>
      <c r="B21" s="60"/>
      <c r="C21" s="60"/>
      <c r="D21" s="494"/>
      <c r="E21" s="495"/>
      <c r="F21" s="494"/>
      <c r="G21" s="495"/>
      <c r="H21" s="494"/>
      <c r="I21" s="495"/>
      <c r="J21" s="494"/>
      <c r="K21" s="495"/>
      <c r="L21" s="89"/>
      <c r="M21" s="90"/>
      <c r="N21" s="89"/>
      <c r="O21" s="60"/>
      <c r="P21" s="31"/>
      <c r="Q21" s="163" t="s">
        <v>45</v>
      </c>
      <c r="R21" s="264">
        <v>46163</v>
      </c>
      <c r="S21" s="265"/>
      <c r="T21" s="88"/>
      <c r="U21" s="454"/>
      <c r="V21" s="237"/>
      <c r="W21" s="122"/>
      <c r="Y21" s="88"/>
      <c r="Z21" s="476"/>
      <c r="AA21" s="476"/>
      <c r="AB21" s="31"/>
    </row>
    <row r="22" spans="1:28" ht="17.100000000000001" customHeight="1" thickBot="1">
      <c r="A22" s="31"/>
      <c r="B22" s="60"/>
      <c r="C22" s="90"/>
      <c r="D22" s="496"/>
      <c r="E22" s="495"/>
      <c r="F22" s="494"/>
      <c r="G22" s="495"/>
      <c r="H22" s="494"/>
      <c r="I22" s="495"/>
      <c r="J22" s="494"/>
      <c r="K22" s="495"/>
      <c r="L22" s="89"/>
      <c r="M22" s="90"/>
      <c r="N22" s="89"/>
      <c r="O22" s="60"/>
      <c r="P22" s="31"/>
      <c r="Q22" s="88"/>
      <c r="R22" s="482"/>
      <c r="S22" s="482"/>
      <c r="T22" s="88"/>
      <c r="U22" s="454"/>
      <c r="V22" s="237"/>
      <c r="W22" s="122"/>
      <c r="Y22" s="88"/>
      <c r="Z22" s="88"/>
      <c r="AA22" s="88"/>
      <c r="AB22" s="31"/>
    </row>
    <row r="23" spans="1:28" ht="17.100000000000001" customHeight="1" thickBot="1">
      <c r="A23" s="31"/>
      <c r="B23" s="61"/>
      <c r="C23" s="92"/>
      <c r="D23" s="61"/>
      <c r="E23" s="61"/>
      <c r="F23" s="528"/>
      <c r="G23" s="529"/>
      <c r="H23" s="528"/>
      <c r="I23" s="529"/>
      <c r="J23" s="528"/>
      <c r="K23" s="529"/>
      <c r="L23" s="91"/>
      <c r="M23" s="92"/>
      <c r="N23" s="91"/>
      <c r="O23" s="61"/>
      <c r="P23" s="31"/>
      <c r="Q23" s="167" t="s">
        <v>39</v>
      </c>
      <c r="R23" s="266" t="s">
        <v>283</v>
      </c>
      <c r="S23" s="267"/>
      <c r="T23" s="88"/>
      <c r="U23" s="454"/>
      <c r="V23" s="237"/>
      <c r="W23" s="122"/>
      <c r="Y23" s="88"/>
      <c r="Z23" s="482"/>
      <c r="AA23" s="482"/>
      <c r="AB23" s="31"/>
    </row>
    <row r="24" spans="1:28" ht="17.100000000000001" customHeight="1">
      <c r="A24" s="31"/>
      <c r="B24" s="521">
        <f>N18+1</f>
        <v>17</v>
      </c>
      <c r="C24" s="522"/>
      <c r="D24" s="500">
        <f>B24+1</f>
        <v>18</v>
      </c>
      <c r="E24" s="501"/>
      <c r="F24" s="500">
        <f>D24+1</f>
        <v>19</v>
      </c>
      <c r="G24" s="501"/>
      <c r="H24" s="500">
        <f t="shared" ref="H24" si="10">F24+1</f>
        <v>20</v>
      </c>
      <c r="I24" s="501"/>
      <c r="J24" s="500">
        <f t="shared" ref="J24" si="11">H24+1</f>
        <v>21</v>
      </c>
      <c r="K24" s="501"/>
      <c r="L24" s="500">
        <f t="shared" ref="L24" si="12">J24+1</f>
        <v>22</v>
      </c>
      <c r="M24" s="501"/>
      <c r="N24" s="502">
        <f t="shared" ref="N24" si="13">L24+1</f>
        <v>23</v>
      </c>
      <c r="O24" s="503"/>
      <c r="P24" s="31"/>
      <c r="Q24" s="159" t="s">
        <v>25</v>
      </c>
      <c r="R24" s="254" t="s">
        <v>26</v>
      </c>
      <c r="S24" s="255"/>
      <c r="T24" s="88"/>
      <c r="U24" s="454"/>
      <c r="V24" s="236"/>
      <c r="W24" s="122"/>
      <c r="Y24" s="88"/>
      <c r="Z24" s="483"/>
      <c r="AA24" s="483"/>
      <c r="AB24" s="31"/>
    </row>
    <row r="25" spans="1:28" ht="17.100000000000001" customHeight="1">
      <c r="A25" s="31"/>
      <c r="B25" s="43"/>
      <c r="C25" s="36"/>
      <c r="D25" s="493" t="s">
        <v>286</v>
      </c>
      <c r="E25" s="306"/>
      <c r="F25" s="493" t="s">
        <v>286</v>
      </c>
      <c r="G25" s="306"/>
      <c r="H25" s="493" t="s">
        <v>286</v>
      </c>
      <c r="I25" s="306"/>
      <c r="J25" s="493" t="s">
        <v>286</v>
      </c>
      <c r="K25" s="306"/>
      <c r="L25" s="60"/>
      <c r="M25" s="90"/>
      <c r="N25" s="37"/>
      <c r="O25" s="34"/>
      <c r="P25" s="31"/>
      <c r="Q25" s="165" t="s">
        <v>27</v>
      </c>
      <c r="R25" s="268" t="s">
        <v>41</v>
      </c>
      <c r="S25" s="269"/>
      <c r="T25" s="88"/>
      <c r="U25" s="454"/>
      <c r="V25" s="237"/>
      <c r="W25" s="122"/>
      <c r="Y25" s="88"/>
      <c r="Z25" s="483"/>
      <c r="AA25" s="483"/>
      <c r="AB25" s="31"/>
    </row>
    <row r="26" spans="1:28" ht="17.100000000000001" customHeight="1">
      <c r="A26" s="31"/>
      <c r="B26" s="60"/>
      <c r="C26" s="60"/>
      <c r="D26" s="494"/>
      <c r="E26" s="495"/>
      <c r="F26" s="494"/>
      <c r="G26" s="495"/>
      <c r="H26" s="494"/>
      <c r="I26" s="495"/>
      <c r="J26" s="496"/>
      <c r="K26" s="495"/>
      <c r="L26" s="60"/>
      <c r="M26" s="90"/>
      <c r="N26" s="37"/>
      <c r="O26" s="34"/>
      <c r="P26" s="31"/>
      <c r="Q26" s="165" t="s">
        <v>29</v>
      </c>
      <c r="R26" s="268" t="s">
        <v>30</v>
      </c>
      <c r="S26" s="269"/>
      <c r="T26" s="88"/>
      <c r="U26" s="488"/>
      <c r="V26" s="489"/>
      <c r="W26" s="489"/>
      <c r="Y26" s="88"/>
      <c r="Z26" s="483"/>
      <c r="AA26" s="483"/>
      <c r="AB26" s="31"/>
    </row>
    <row r="27" spans="1:28" ht="17.100000000000001" customHeight="1">
      <c r="A27" s="31"/>
      <c r="B27" s="60"/>
      <c r="C27" s="60"/>
      <c r="D27" s="494"/>
      <c r="E27" s="495"/>
      <c r="F27" s="494"/>
      <c r="G27" s="495"/>
      <c r="H27" s="494"/>
      <c r="I27" s="495"/>
      <c r="J27" s="496"/>
      <c r="K27" s="495"/>
      <c r="L27" s="60"/>
      <c r="M27" s="90"/>
      <c r="N27" s="37"/>
      <c r="O27" s="34"/>
      <c r="P27" s="31"/>
      <c r="Q27" s="166" t="s">
        <v>43</v>
      </c>
      <c r="R27" s="258" t="s">
        <v>290</v>
      </c>
      <c r="S27" s="259"/>
      <c r="T27" s="88"/>
      <c r="U27" s="489"/>
      <c r="V27" s="489"/>
      <c r="W27" s="489"/>
      <c r="Y27" s="88"/>
      <c r="Z27" s="484"/>
      <c r="AA27" s="484"/>
      <c r="AB27" s="31"/>
    </row>
    <row r="28" spans="1:28" ht="17.100000000000001" customHeight="1">
      <c r="A28" s="31"/>
      <c r="B28" s="60"/>
      <c r="C28" s="60"/>
      <c r="D28" s="494"/>
      <c r="E28" s="495"/>
      <c r="F28" s="494"/>
      <c r="G28" s="495"/>
      <c r="H28" s="494"/>
      <c r="I28" s="495"/>
      <c r="J28" s="89"/>
      <c r="K28" s="90"/>
      <c r="L28" s="89"/>
      <c r="M28" s="90"/>
      <c r="N28" s="37"/>
      <c r="O28" s="34"/>
      <c r="P28" s="31"/>
      <c r="Q28" s="166"/>
      <c r="R28" s="258" t="s">
        <v>291</v>
      </c>
      <c r="S28" s="259"/>
      <c r="T28" s="88"/>
      <c r="U28" s="234"/>
      <c r="V28" s="490"/>
      <c r="W28" s="490"/>
      <c r="X28" s="15"/>
      <c r="Y28" s="88"/>
      <c r="Z28" s="483"/>
      <c r="AA28" s="483"/>
      <c r="AB28" s="31"/>
    </row>
    <row r="29" spans="1:28" ht="17.100000000000001" customHeight="1" thickBot="1">
      <c r="A29" s="31"/>
      <c r="B29" s="61"/>
      <c r="C29" s="61"/>
      <c r="D29" s="91"/>
      <c r="E29" s="92"/>
      <c r="F29" s="494"/>
      <c r="G29" s="495"/>
      <c r="H29" s="494"/>
      <c r="I29" s="495"/>
      <c r="J29" s="91"/>
      <c r="K29" s="92"/>
      <c r="L29" s="91"/>
      <c r="M29" s="92"/>
      <c r="N29" s="41"/>
      <c r="O29" s="40"/>
      <c r="P29" s="31"/>
      <c r="Q29" s="165" t="s">
        <v>32</v>
      </c>
      <c r="R29" s="321" t="s">
        <v>33</v>
      </c>
      <c r="S29" s="322"/>
      <c r="T29" s="88"/>
      <c r="U29" s="88"/>
      <c r="Y29" s="88"/>
      <c r="Z29" s="476"/>
      <c r="AA29" s="476"/>
      <c r="AB29" s="31"/>
    </row>
    <row r="30" spans="1:28" ht="17.100000000000001" customHeight="1" thickBot="1">
      <c r="A30" s="31"/>
      <c r="B30" s="521">
        <f>N24+1</f>
        <v>24</v>
      </c>
      <c r="C30" s="522"/>
      <c r="D30" s="525">
        <f>B30+1</f>
        <v>25</v>
      </c>
      <c r="E30" s="522"/>
      <c r="F30" s="500">
        <f>D30+1</f>
        <v>26</v>
      </c>
      <c r="G30" s="501"/>
      <c r="H30" s="500">
        <f>F30+1</f>
        <v>27</v>
      </c>
      <c r="I30" s="501"/>
      <c r="J30" s="500">
        <f>H30+1</f>
        <v>28</v>
      </c>
      <c r="K30" s="501"/>
      <c r="L30" s="500">
        <f>J30+1</f>
        <v>29</v>
      </c>
      <c r="M30" s="501"/>
      <c r="N30" s="502">
        <f t="shared" ref="N30" si="14">L30+1</f>
        <v>30</v>
      </c>
      <c r="O30" s="503"/>
      <c r="P30" s="31"/>
      <c r="Q30" s="163" t="s">
        <v>45</v>
      </c>
      <c r="R30" s="264" t="s">
        <v>284</v>
      </c>
      <c r="S30" s="265"/>
      <c r="T30" s="88"/>
      <c r="U30" s="88"/>
      <c r="Y30" s="31"/>
      <c r="Z30" s="31"/>
      <c r="AA30" s="31"/>
      <c r="AB30" s="31"/>
    </row>
    <row r="31" spans="1:28" ht="17.100000000000001" customHeight="1" thickBot="1">
      <c r="A31" s="31"/>
      <c r="B31" s="60"/>
      <c r="C31" s="90"/>
      <c r="D31" s="494"/>
      <c r="E31" s="495"/>
      <c r="F31" s="493" t="s">
        <v>286</v>
      </c>
      <c r="G31" s="306"/>
      <c r="H31" s="493" t="s">
        <v>286</v>
      </c>
      <c r="I31" s="306"/>
      <c r="J31" s="493" t="s">
        <v>286</v>
      </c>
      <c r="K31" s="306"/>
      <c r="L31" s="89"/>
      <c r="M31" s="90"/>
      <c r="N31" s="89"/>
      <c r="O31" s="34"/>
      <c r="P31" s="31"/>
      <c r="T31" s="88"/>
      <c r="U31" s="88"/>
      <c r="AB31" s="31"/>
    </row>
    <row r="32" spans="1:28" ht="17.100000000000001" customHeight="1" thickBot="1">
      <c r="A32" s="31"/>
      <c r="B32" s="60"/>
      <c r="C32" s="90"/>
      <c r="D32" s="494"/>
      <c r="E32" s="495"/>
      <c r="F32" s="494"/>
      <c r="G32" s="495"/>
      <c r="H32" s="494"/>
      <c r="I32" s="495"/>
      <c r="J32" s="494"/>
      <c r="K32" s="495"/>
      <c r="L32" s="89"/>
      <c r="M32" s="90"/>
      <c r="N32" s="89"/>
      <c r="O32" s="34"/>
      <c r="P32" s="31"/>
      <c r="Q32" s="233" t="s">
        <v>39</v>
      </c>
      <c r="R32" s="395" t="s">
        <v>287</v>
      </c>
      <c r="S32" s="396"/>
      <c r="T32" s="88"/>
      <c r="U32" s="88"/>
      <c r="AB32" s="31"/>
    </row>
    <row r="33" spans="1:28" ht="17.100000000000001" customHeight="1">
      <c r="A33" s="31"/>
      <c r="B33" s="60"/>
      <c r="C33" s="60"/>
      <c r="D33" s="494"/>
      <c r="E33" s="495"/>
      <c r="F33" s="494"/>
      <c r="G33" s="495"/>
      <c r="H33" s="494"/>
      <c r="I33" s="495"/>
      <c r="J33" s="494"/>
      <c r="K33" s="495"/>
      <c r="L33" s="89"/>
      <c r="M33" s="90"/>
      <c r="N33" s="89"/>
      <c r="O33" s="34"/>
      <c r="P33" s="31"/>
      <c r="Q33" s="159" t="s">
        <v>25</v>
      </c>
      <c r="R33" s="254" t="s">
        <v>26</v>
      </c>
      <c r="S33" s="255"/>
      <c r="T33" s="88"/>
      <c r="U33" s="88"/>
      <c r="AB33" s="31"/>
    </row>
    <row r="34" spans="1:28" ht="17.100000000000001" customHeight="1">
      <c r="A34" s="31"/>
      <c r="B34" s="60"/>
      <c r="C34" s="60"/>
      <c r="D34" s="494"/>
      <c r="E34" s="495"/>
      <c r="F34" s="494"/>
      <c r="G34" s="495"/>
      <c r="H34" s="494"/>
      <c r="I34" s="495"/>
      <c r="J34" s="494"/>
      <c r="K34" s="495"/>
      <c r="L34" s="89"/>
      <c r="M34" s="90"/>
      <c r="N34" s="89"/>
      <c r="O34" s="34"/>
      <c r="P34" s="31"/>
      <c r="Q34" s="165" t="s">
        <v>27</v>
      </c>
      <c r="R34" s="268" t="s">
        <v>288</v>
      </c>
      <c r="S34" s="269"/>
      <c r="T34" s="88"/>
      <c r="U34" s="88"/>
      <c r="V34" s="476"/>
      <c r="W34" s="476"/>
      <c r="AB34" s="31"/>
    </row>
    <row r="35" spans="1:28" ht="17.100000000000001" customHeight="1">
      <c r="A35" s="31"/>
      <c r="B35" s="60"/>
      <c r="C35" s="60"/>
      <c r="D35" s="494"/>
      <c r="E35" s="495"/>
      <c r="F35" s="494"/>
      <c r="G35" s="495"/>
      <c r="H35" s="89"/>
      <c r="I35" s="90"/>
      <c r="J35" s="89"/>
      <c r="K35" s="90"/>
      <c r="L35" s="89"/>
      <c r="M35" s="90"/>
      <c r="N35" s="89"/>
      <c r="O35" s="34"/>
      <c r="P35" s="31"/>
      <c r="Q35" s="165" t="s">
        <v>29</v>
      </c>
      <c r="R35" s="268" t="s">
        <v>30</v>
      </c>
      <c r="S35" s="269"/>
      <c r="T35" s="88"/>
      <c r="U35" s="88"/>
      <c r="V35" s="88"/>
      <c r="W35" s="88"/>
      <c r="AB35" s="31"/>
    </row>
    <row r="36" spans="1:28" ht="17.100000000000001" customHeight="1">
      <c r="A36" s="31"/>
      <c r="B36" s="61"/>
      <c r="C36" s="61"/>
      <c r="D36" s="91"/>
      <c r="E36" s="92"/>
      <c r="F36" s="494"/>
      <c r="G36" s="495"/>
      <c r="H36" s="494"/>
      <c r="I36" s="495"/>
      <c r="J36" s="91"/>
      <c r="K36" s="92"/>
      <c r="L36" s="91"/>
      <c r="M36" s="92"/>
      <c r="N36" s="91"/>
      <c r="O36" s="40"/>
      <c r="P36" s="31"/>
      <c r="Q36" s="166" t="s">
        <v>43</v>
      </c>
      <c r="R36" s="258" t="s">
        <v>289</v>
      </c>
      <c r="S36" s="259"/>
      <c r="T36" s="88"/>
      <c r="U36" s="88"/>
      <c r="V36" s="88"/>
      <c r="W36" s="88"/>
      <c r="AB36" s="31"/>
    </row>
    <row r="37" spans="1:28" ht="17.100000000000001" customHeight="1">
      <c r="A37" s="72"/>
      <c r="B37" s="521">
        <f>N30+1</f>
        <v>31</v>
      </c>
      <c r="C37" s="522"/>
      <c r="D37" s="499"/>
      <c r="E37" s="498"/>
      <c r="F37" s="499"/>
      <c r="G37" s="498"/>
      <c r="H37" s="499"/>
      <c r="I37" s="498"/>
      <c r="J37" s="499"/>
      <c r="K37" s="498"/>
      <c r="L37" s="499"/>
      <c r="M37" s="498"/>
      <c r="N37" s="526"/>
      <c r="O37" s="527"/>
      <c r="P37" s="31"/>
      <c r="Q37" s="166"/>
      <c r="R37" s="258" t="s">
        <v>292</v>
      </c>
      <c r="S37" s="259"/>
      <c r="T37" s="88"/>
      <c r="AB37" s="31"/>
    </row>
    <row r="38" spans="1:28" ht="17.100000000000001" customHeight="1" thickBot="1">
      <c r="A38" s="72"/>
      <c r="B38" s="60"/>
      <c r="C38" s="90"/>
      <c r="D38" s="494"/>
      <c r="E38" s="495"/>
      <c r="F38" s="494"/>
      <c r="G38" s="495"/>
      <c r="H38" s="494"/>
      <c r="I38" s="495"/>
      <c r="J38" s="494"/>
      <c r="K38" s="495"/>
      <c r="L38" s="89"/>
      <c r="M38" s="90"/>
      <c r="N38" s="89"/>
      <c r="O38" s="34"/>
      <c r="P38" s="31"/>
      <c r="Q38" s="165" t="s">
        <v>32</v>
      </c>
      <c r="R38" s="321" t="s">
        <v>33</v>
      </c>
      <c r="S38" s="322"/>
      <c r="T38" s="88"/>
      <c r="AB38" s="31"/>
    </row>
    <row r="39" spans="1:28" ht="17.100000000000001" customHeight="1" thickBot="1">
      <c r="A39" s="72"/>
      <c r="B39" s="60"/>
      <c r="C39" s="90"/>
      <c r="D39" s="494"/>
      <c r="E39" s="495"/>
      <c r="F39" s="494"/>
      <c r="G39" s="495"/>
      <c r="H39" s="494"/>
      <c r="I39" s="495"/>
      <c r="J39" s="494"/>
      <c r="K39" s="495"/>
      <c r="L39" s="89"/>
      <c r="M39" s="90"/>
      <c r="N39" s="89"/>
      <c r="O39" s="34"/>
      <c r="P39" s="31"/>
      <c r="Q39" s="163" t="s">
        <v>45</v>
      </c>
      <c r="R39" s="264" t="s">
        <v>284</v>
      </c>
      <c r="S39" s="265"/>
      <c r="T39" s="88"/>
      <c r="AB39" s="31"/>
    </row>
    <row r="40" spans="1:28" ht="17.100000000000001" customHeight="1" thickBot="1">
      <c r="A40" s="72"/>
      <c r="B40" s="60"/>
      <c r="C40" s="60"/>
      <c r="D40" s="494"/>
      <c r="E40" s="495"/>
      <c r="F40" s="494"/>
      <c r="G40" s="495"/>
      <c r="H40" s="494"/>
      <c r="I40" s="495"/>
      <c r="J40" s="494"/>
      <c r="K40" s="495"/>
      <c r="L40" s="89"/>
      <c r="M40" s="90"/>
      <c r="N40" s="89"/>
      <c r="O40" s="34"/>
      <c r="P40" s="31"/>
      <c r="T40" s="88"/>
      <c r="AB40" s="31"/>
    </row>
    <row r="41" spans="1:28" ht="17.100000000000001" customHeight="1">
      <c r="A41" s="72"/>
      <c r="B41" s="60"/>
      <c r="C41" s="60"/>
      <c r="D41" s="494"/>
      <c r="E41" s="495"/>
      <c r="F41" s="494"/>
      <c r="G41" s="495"/>
      <c r="H41" s="494"/>
      <c r="I41" s="495"/>
      <c r="J41" s="494"/>
      <c r="K41" s="495"/>
      <c r="L41" s="89"/>
      <c r="M41" s="90"/>
      <c r="N41" s="89"/>
      <c r="O41" s="34"/>
      <c r="P41" s="31"/>
      <c r="Q41" s="485" t="s">
        <v>9</v>
      </c>
      <c r="R41" s="238" t="s">
        <v>298</v>
      </c>
      <c r="S41" s="239">
        <v>2</v>
      </c>
      <c r="T41" s="88"/>
      <c r="X41" s="146"/>
      <c r="AB41" s="31"/>
    </row>
    <row r="42" spans="1:28" ht="17.25">
      <c r="A42" s="72"/>
      <c r="B42" s="60"/>
      <c r="C42" s="60"/>
      <c r="D42" s="494"/>
      <c r="E42" s="495"/>
      <c r="F42" s="494"/>
      <c r="G42" s="495"/>
      <c r="H42" s="89"/>
      <c r="I42" s="90"/>
      <c r="J42" s="89"/>
      <c r="K42" s="90"/>
      <c r="L42" s="89"/>
      <c r="M42" s="90"/>
      <c r="N42" s="89"/>
      <c r="O42" s="34"/>
      <c r="P42" s="31"/>
      <c r="Q42" s="486"/>
      <c r="R42" s="240" t="s">
        <v>299</v>
      </c>
      <c r="S42" s="241">
        <v>1</v>
      </c>
      <c r="T42" s="88"/>
      <c r="X42" s="146"/>
      <c r="AB42" s="31"/>
    </row>
    <row r="43" spans="1:28" ht="17.25">
      <c r="A43" s="31"/>
      <c r="B43" s="61"/>
      <c r="C43" s="61"/>
      <c r="D43" s="91"/>
      <c r="E43" s="92"/>
      <c r="F43" s="528"/>
      <c r="G43" s="529"/>
      <c r="H43" s="528"/>
      <c r="I43" s="529"/>
      <c r="J43" s="91"/>
      <c r="K43" s="92"/>
      <c r="L43" s="91"/>
      <c r="M43" s="92"/>
      <c r="N43" s="91"/>
      <c r="O43" s="40"/>
      <c r="P43" s="31"/>
      <c r="Q43" s="486"/>
      <c r="R43" s="242" t="s">
        <v>300</v>
      </c>
      <c r="S43" s="241">
        <v>2</v>
      </c>
      <c r="T43" s="88"/>
      <c r="X43" s="31"/>
      <c r="Y43" s="31"/>
      <c r="Z43" s="31"/>
      <c r="AA43" s="31"/>
      <c r="AB43" s="31"/>
    </row>
    <row r="44" spans="1:28" ht="17.25" thickBot="1">
      <c r="Q44" s="487"/>
      <c r="R44" s="243" t="s">
        <v>301</v>
      </c>
      <c r="S44" s="244">
        <v>7</v>
      </c>
    </row>
    <row r="45" spans="1:28" ht="16.5" customHeight="1" thickBot="1">
      <c r="B45" s="397" t="s">
        <v>127</v>
      </c>
      <c r="C45" s="398"/>
      <c r="D45" s="397" t="s">
        <v>128</v>
      </c>
      <c r="E45" s="399"/>
      <c r="F45" s="399" t="s">
        <v>129</v>
      </c>
      <c r="G45" s="399"/>
      <c r="H45" s="399" t="s">
        <v>130</v>
      </c>
      <c r="I45" s="399"/>
      <c r="J45" s="399" t="s">
        <v>131</v>
      </c>
      <c r="K45" s="399"/>
      <c r="L45" s="399" t="s">
        <v>132</v>
      </c>
      <c r="M45" s="399"/>
      <c r="N45" s="399" t="s">
        <v>133</v>
      </c>
      <c r="O45" s="398"/>
      <c r="Q45" s="444" t="s">
        <v>302</v>
      </c>
      <c r="R45" s="491"/>
      <c r="S45" s="492"/>
    </row>
    <row r="46" spans="1:28" ht="18" thickBot="1">
      <c r="B46" s="400" t="s">
        <v>134</v>
      </c>
      <c r="C46" s="401"/>
      <c r="D46" s="402" t="s">
        <v>142</v>
      </c>
      <c r="E46" s="403"/>
      <c r="F46" s="404" t="s">
        <v>214</v>
      </c>
      <c r="G46" s="404"/>
      <c r="H46" s="404" t="s">
        <v>241</v>
      </c>
      <c r="I46" s="404"/>
      <c r="J46" s="404" t="s">
        <v>279</v>
      </c>
      <c r="K46" s="404"/>
      <c r="L46" s="404" t="s">
        <v>303</v>
      </c>
      <c r="M46" s="404"/>
      <c r="N46" s="404"/>
      <c r="O46" s="405"/>
      <c r="Q46" s="133" t="s">
        <v>10</v>
      </c>
      <c r="R46" s="334">
        <f>(SUM(S41:S44)-1)*88000+(110000)</f>
        <v>1078000</v>
      </c>
      <c r="S46" s="335"/>
      <c r="Z46" s="6"/>
      <c r="AA46" s="6"/>
    </row>
    <row r="47" spans="1:28" ht="18" thickBot="1">
      <c r="B47" s="406" t="s">
        <v>135</v>
      </c>
      <c r="C47" s="407"/>
      <c r="D47" s="408">
        <v>4950000</v>
      </c>
      <c r="E47" s="409"/>
      <c r="F47" s="410">
        <v>3300000</v>
      </c>
      <c r="G47" s="409"/>
      <c r="H47" s="410">
        <v>2024000</v>
      </c>
      <c r="I47" s="409"/>
      <c r="J47" s="410">
        <v>2992000</v>
      </c>
      <c r="K47" s="409"/>
      <c r="L47" s="410">
        <v>1078000</v>
      </c>
      <c r="M47" s="409"/>
      <c r="N47" s="410"/>
      <c r="O47" s="407"/>
    </row>
    <row r="48" spans="1:28" ht="18" thickBot="1"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</row>
    <row r="49" spans="2:15" ht="17.25">
      <c r="B49" s="397" t="s">
        <v>127</v>
      </c>
      <c r="C49" s="398"/>
      <c r="D49" s="397" t="s">
        <v>136</v>
      </c>
      <c r="E49" s="399"/>
      <c r="F49" s="399" t="s">
        <v>137</v>
      </c>
      <c r="G49" s="399"/>
      <c r="H49" s="399" t="s">
        <v>138</v>
      </c>
      <c r="I49" s="399"/>
      <c r="J49" s="399" t="s">
        <v>139</v>
      </c>
      <c r="K49" s="399"/>
      <c r="L49" s="399" t="s">
        <v>140</v>
      </c>
      <c r="M49" s="399"/>
      <c r="N49" s="399" t="s">
        <v>141</v>
      </c>
      <c r="O49" s="398"/>
    </row>
    <row r="50" spans="2:15" ht="18" thickBot="1">
      <c r="B50" s="400" t="s">
        <v>134</v>
      </c>
      <c r="C50" s="401"/>
      <c r="D50" s="402"/>
      <c r="E50" s="403"/>
      <c r="F50" s="404"/>
      <c r="G50" s="404"/>
      <c r="H50" s="404"/>
      <c r="I50" s="404"/>
      <c r="J50" s="404"/>
      <c r="K50" s="404"/>
      <c r="L50" s="404"/>
      <c r="M50" s="404"/>
      <c r="N50" s="404"/>
      <c r="O50" s="405"/>
    </row>
    <row r="51" spans="2:15" ht="18" thickBot="1">
      <c r="B51" s="406" t="s">
        <v>135</v>
      </c>
      <c r="C51" s="407"/>
      <c r="D51" s="408"/>
      <c r="E51" s="409"/>
      <c r="F51" s="410"/>
      <c r="G51" s="409"/>
      <c r="H51" s="410"/>
      <c r="I51" s="409"/>
      <c r="J51" s="410"/>
      <c r="K51" s="409"/>
      <c r="L51" s="410"/>
      <c r="M51" s="409"/>
      <c r="N51" s="410"/>
      <c r="O51" s="407"/>
    </row>
  </sheetData>
  <mergeCells count="240">
    <mergeCell ref="B50:C50"/>
    <mergeCell ref="D50:E50"/>
    <mergeCell ref="F50:G50"/>
    <mergeCell ref="H50:I50"/>
    <mergeCell ref="J50:K50"/>
    <mergeCell ref="L50:M50"/>
    <mergeCell ref="N50:O50"/>
    <mergeCell ref="B51:C51"/>
    <mergeCell ref="D51:E51"/>
    <mergeCell ref="F51:G51"/>
    <mergeCell ref="H51:I51"/>
    <mergeCell ref="J51:K51"/>
    <mergeCell ref="L51:M51"/>
    <mergeCell ref="N51:O51"/>
    <mergeCell ref="B47:C47"/>
    <mergeCell ref="D47:E47"/>
    <mergeCell ref="F47:G47"/>
    <mergeCell ref="H47:I47"/>
    <mergeCell ref="J47:K47"/>
    <mergeCell ref="L47:M47"/>
    <mergeCell ref="N47:O47"/>
    <mergeCell ref="B49:C49"/>
    <mergeCell ref="D49:E49"/>
    <mergeCell ref="F49:G49"/>
    <mergeCell ref="H49:I49"/>
    <mergeCell ref="J49:K49"/>
    <mergeCell ref="L49:M49"/>
    <mergeCell ref="N49:O49"/>
    <mergeCell ref="B45:C45"/>
    <mergeCell ref="D45:E45"/>
    <mergeCell ref="F45:G45"/>
    <mergeCell ref="H45:I45"/>
    <mergeCell ref="J45:K45"/>
    <mergeCell ref="L45:M45"/>
    <mergeCell ref="N45:O45"/>
    <mergeCell ref="B46:C46"/>
    <mergeCell ref="D46:E46"/>
    <mergeCell ref="F46:G46"/>
    <mergeCell ref="H46:I46"/>
    <mergeCell ref="J46:K46"/>
    <mergeCell ref="L46:M46"/>
    <mergeCell ref="N46:O46"/>
    <mergeCell ref="D39:E39"/>
    <mergeCell ref="F39:G39"/>
    <mergeCell ref="H39:I39"/>
    <mergeCell ref="J39:K39"/>
    <mergeCell ref="F43:G43"/>
    <mergeCell ref="H43:I43"/>
    <mergeCell ref="D40:E40"/>
    <mergeCell ref="F40:G40"/>
    <mergeCell ref="H40:I40"/>
    <mergeCell ref="J40:K40"/>
    <mergeCell ref="D41:E41"/>
    <mergeCell ref="F41:G41"/>
    <mergeCell ref="H41:I41"/>
    <mergeCell ref="J41:K41"/>
    <mergeCell ref="D42:E42"/>
    <mergeCell ref="F42:G42"/>
    <mergeCell ref="J8:K8"/>
    <mergeCell ref="H24:I24"/>
    <mergeCell ref="J24:K24"/>
    <mergeCell ref="B37:C37"/>
    <mergeCell ref="D37:E37"/>
    <mergeCell ref="L37:M37"/>
    <mergeCell ref="N37:O37"/>
    <mergeCell ref="D38:E38"/>
    <mergeCell ref="F38:G38"/>
    <mergeCell ref="H38:I38"/>
    <mergeCell ref="J38:K38"/>
    <mergeCell ref="J25:K25"/>
    <mergeCell ref="L18:M18"/>
    <mergeCell ref="N18:O18"/>
    <mergeCell ref="F23:G23"/>
    <mergeCell ref="H23:I23"/>
    <mergeCell ref="J23:K23"/>
    <mergeCell ref="F37:G37"/>
    <mergeCell ref="H37:I37"/>
    <mergeCell ref="J37:K37"/>
    <mergeCell ref="H36:I36"/>
    <mergeCell ref="F36:G36"/>
    <mergeCell ref="F33:G33"/>
    <mergeCell ref="H33:I33"/>
    <mergeCell ref="L13:M13"/>
    <mergeCell ref="R13:S13"/>
    <mergeCell ref="J22:K22"/>
    <mergeCell ref="N24:O24"/>
    <mergeCell ref="L24:M24"/>
    <mergeCell ref="D32:E32"/>
    <mergeCell ref="R28:S28"/>
    <mergeCell ref="H30:I30"/>
    <mergeCell ref="J30:K30"/>
    <mergeCell ref="F29:G29"/>
    <mergeCell ref="H29:I29"/>
    <mergeCell ref="N30:O30"/>
    <mergeCell ref="L30:M30"/>
    <mergeCell ref="B24:C24"/>
    <mergeCell ref="D35:E35"/>
    <mergeCell ref="J34:K34"/>
    <mergeCell ref="D31:E31"/>
    <mergeCell ref="F31:G31"/>
    <mergeCell ref="D34:E34"/>
    <mergeCell ref="B30:C30"/>
    <mergeCell ref="D30:E30"/>
    <mergeCell ref="D33:E33"/>
    <mergeCell ref="F30:G30"/>
    <mergeCell ref="J33:K33"/>
    <mergeCell ref="F35:G35"/>
    <mergeCell ref="F34:G34"/>
    <mergeCell ref="H34:I34"/>
    <mergeCell ref="D26:E26"/>
    <mergeCell ref="F26:G26"/>
    <mergeCell ref="H26:I26"/>
    <mergeCell ref="J26:K26"/>
    <mergeCell ref="D27:E27"/>
    <mergeCell ref="D28:E28"/>
    <mergeCell ref="F28:G28"/>
    <mergeCell ref="D25:E25"/>
    <mergeCell ref="F25:G25"/>
    <mergeCell ref="H28:I28"/>
    <mergeCell ref="B18:C18"/>
    <mergeCell ref="H13:I13"/>
    <mergeCell ref="H20:I20"/>
    <mergeCell ref="J20:K20"/>
    <mergeCell ref="H21:I21"/>
    <mergeCell ref="J21:K21"/>
    <mergeCell ref="J19:K19"/>
    <mergeCell ref="B12:C12"/>
    <mergeCell ref="D12:E12"/>
    <mergeCell ref="F12:G12"/>
    <mergeCell ref="H12:I12"/>
    <mergeCell ref="J12:K12"/>
    <mergeCell ref="H14:I14"/>
    <mergeCell ref="D20:E20"/>
    <mergeCell ref="F20:G20"/>
    <mergeCell ref="D21:E21"/>
    <mergeCell ref="D19:E19"/>
    <mergeCell ref="F19:G19"/>
    <mergeCell ref="H19:I19"/>
    <mergeCell ref="D18:E18"/>
    <mergeCell ref="F18:G18"/>
    <mergeCell ref="H18:I18"/>
    <mergeCell ref="J18:K18"/>
    <mergeCell ref="J13:K13"/>
    <mergeCell ref="B2:O3"/>
    <mergeCell ref="Q2:S2"/>
    <mergeCell ref="Q3:S4"/>
    <mergeCell ref="B4:O4"/>
    <mergeCell ref="B5:C5"/>
    <mergeCell ref="D5:E5"/>
    <mergeCell ref="F5:G5"/>
    <mergeCell ref="H5:I5"/>
    <mergeCell ref="J5:K5"/>
    <mergeCell ref="L5:M5"/>
    <mergeCell ref="N5:O5"/>
    <mergeCell ref="B6:C6"/>
    <mergeCell ref="F6:G6"/>
    <mergeCell ref="H6:I6"/>
    <mergeCell ref="J6:K6"/>
    <mergeCell ref="L6:M6"/>
    <mergeCell ref="R14:S14"/>
    <mergeCell ref="R15:S15"/>
    <mergeCell ref="R16:S16"/>
    <mergeCell ref="H25:I25"/>
    <mergeCell ref="N6:O6"/>
    <mergeCell ref="D6:E6"/>
    <mergeCell ref="N12:O12"/>
    <mergeCell ref="L12:M12"/>
    <mergeCell ref="F13:G13"/>
    <mergeCell ref="F14:G14"/>
    <mergeCell ref="D24:E24"/>
    <mergeCell ref="F24:G24"/>
    <mergeCell ref="F21:G21"/>
    <mergeCell ref="D22:E22"/>
    <mergeCell ref="F22:G22"/>
    <mergeCell ref="H22:I22"/>
    <mergeCell ref="R6:S6"/>
    <mergeCell ref="R8:S8"/>
    <mergeCell ref="R22:S22"/>
    <mergeCell ref="Z7:AA7"/>
    <mergeCell ref="H31:I31"/>
    <mergeCell ref="J31:K31"/>
    <mergeCell ref="F32:G32"/>
    <mergeCell ref="H32:I32"/>
    <mergeCell ref="J32:K32"/>
    <mergeCell ref="Z8:AA8"/>
    <mergeCell ref="Z9:AA9"/>
    <mergeCell ref="Z10:AA10"/>
    <mergeCell ref="Z11:AA11"/>
    <mergeCell ref="Z16:AA16"/>
    <mergeCell ref="Z17:AA17"/>
    <mergeCell ref="Z18:AA18"/>
    <mergeCell ref="Z19:AA19"/>
    <mergeCell ref="Z20:AA20"/>
    <mergeCell ref="Z15:AA15"/>
    <mergeCell ref="Z12:AA12"/>
    <mergeCell ref="Z13:AA13"/>
    <mergeCell ref="Z21:AA21"/>
    <mergeCell ref="J7:K7"/>
    <mergeCell ref="R20:S20"/>
    <mergeCell ref="F27:G27"/>
    <mergeCell ref="H27:I27"/>
    <mergeCell ref="J27:K27"/>
    <mergeCell ref="R9:S9"/>
    <mergeCell ref="Q41:Q44"/>
    <mergeCell ref="U6:U25"/>
    <mergeCell ref="U26:W27"/>
    <mergeCell ref="V28:W28"/>
    <mergeCell ref="R46:S46"/>
    <mergeCell ref="Q45:S45"/>
    <mergeCell ref="V34:W34"/>
    <mergeCell ref="R39:S39"/>
    <mergeCell ref="R17:S17"/>
    <mergeCell ref="R29:S29"/>
    <mergeCell ref="R19:S19"/>
    <mergeCell ref="R32:S32"/>
    <mergeCell ref="R33:S33"/>
    <mergeCell ref="R34:S34"/>
    <mergeCell ref="R35:S35"/>
    <mergeCell ref="R36:S36"/>
    <mergeCell ref="R37:S37"/>
    <mergeCell ref="R38:S38"/>
    <mergeCell ref="R7:S7"/>
    <mergeCell ref="R18:S18"/>
    <mergeCell ref="R12:S12"/>
    <mergeCell ref="Z23:AA23"/>
    <mergeCell ref="R10:S10"/>
    <mergeCell ref="Z24:AA24"/>
    <mergeCell ref="Z25:AA25"/>
    <mergeCell ref="Z26:AA26"/>
    <mergeCell ref="Z27:AA27"/>
    <mergeCell ref="Z28:AA28"/>
    <mergeCell ref="Z29:AA29"/>
    <mergeCell ref="R30:S30"/>
    <mergeCell ref="R11:S11"/>
    <mergeCell ref="R23:S23"/>
    <mergeCell ref="R24:S24"/>
    <mergeCell ref="R25:S25"/>
    <mergeCell ref="R26:S26"/>
    <mergeCell ref="R21:S21"/>
    <mergeCell ref="R27:S27"/>
  </mergeCells>
  <phoneticPr fontId="1" type="noConversion"/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8"/>
  <sheetViews>
    <sheetView view="pageBreakPreview" zoomScale="70" zoomScaleNormal="85" zoomScaleSheetLayoutView="70" workbookViewId="0">
      <selection activeCell="AJ34" sqref="AJ34"/>
    </sheetView>
  </sheetViews>
  <sheetFormatPr defaultColWidth="9" defaultRowHeight="16.5"/>
  <cols>
    <col min="1" max="1" width="5.625" style="1" customWidth="1"/>
    <col min="2" max="13" width="9" style="1"/>
    <col min="14" max="15" width="9" style="1" customWidth="1"/>
    <col min="16" max="16" width="5.625" style="1" customWidth="1"/>
    <col min="17" max="19" width="10.625" style="1" customWidth="1"/>
    <col min="20" max="20" width="5.625" style="1" customWidth="1"/>
    <col min="21" max="23" width="10.625" style="1" customWidth="1"/>
    <col min="24" max="24" width="5.625" style="1" customWidth="1"/>
    <col min="25" max="27" width="10.625" style="1" customWidth="1"/>
    <col min="28" max="28" width="5.625" style="1" customWidth="1"/>
    <col min="29" max="31" width="10.625" style="1" customWidth="1"/>
    <col min="32" max="32" width="5.625" style="1" customWidth="1"/>
    <col min="33" max="16384" width="9" style="1"/>
  </cols>
  <sheetData>
    <row r="1" spans="1:31" ht="17.25" thickBot="1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</row>
    <row r="2" spans="1:31" ht="16.5" customHeight="1">
      <c r="A2" s="99"/>
      <c r="B2" s="272" t="s">
        <v>8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99"/>
      <c r="Q2" s="279" t="s">
        <v>0</v>
      </c>
      <c r="R2" s="280"/>
      <c r="S2" s="281"/>
      <c r="T2" s="99"/>
      <c r="U2" s="99"/>
      <c r="V2" s="99"/>
      <c r="W2" s="99"/>
      <c r="X2" s="99"/>
      <c r="Y2" s="99"/>
      <c r="Z2" s="99"/>
      <c r="AA2" s="99"/>
      <c r="AB2" s="99"/>
    </row>
    <row r="3" spans="1:31" ht="16.5" customHeight="1" thickBot="1">
      <c r="A3" s="99"/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99"/>
      <c r="Q3" s="282">
        <f>COUNTA($B$7:$O$11,$B$13:$O$20,$B$22:$O$26,$B$28:$O$32,$B$34:$O$38)*88000</f>
        <v>3432000</v>
      </c>
      <c r="R3" s="283"/>
      <c r="S3" s="284"/>
      <c r="T3" s="99"/>
      <c r="U3" s="99"/>
      <c r="V3" s="99"/>
      <c r="W3" s="99"/>
      <c r="X3" s="99"/>
      <c r="Y3" s="99"/>
      <c r="Z3" s="99"/>
      <c r="AA3" s="99"/>
      <c r="AB3" s="99"/>
    </row>
    <row r="4" spans="1:31" ht="21.75" customHeight="1" thickBot="1">
      <c r="A4" s="99"/>
      <c r="B4" s="288" t="s">
        <v>18</v>
      </c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99"/>
      <c r="Q4" s="285"/>
      <c r="R4" s="286"/>
      <c r="S4" s="287"/>
      <c r="T4" s="99"/>
      <c r="U4" s="99"/>
      <c r="V4" s="99"/>
      <c r="W4" s="99"/>
      <c r="X4" s="99"/>
      <c r="Y4" s="99"/>
      <c r="Z4" s="99"/>
      <c r="AA4" s="99"/>
      <c r="AB4" s="99"/>
    </row>
    <row r="5" spans="1:31" ht="30" customHeight="1" thickBot="1">
      <c r="A5" s="99"/>
      <c r="B5" s="289" t="s">
        <v>4</v>
      </c>
      <c r="C5" s="290"/>
      <c r="D5" s="291" t="s">
        <v>1</v>
      </c>
      <c r="E5" s="291"/>
      <c r="F5" s="291" t="s">
        <v>5</v>
      </c>
      <c r="G5" s="291"/>
      <c r="H5" s="291" t="s">
        <v>6</v>
      </c>
      <c r="I5" s="291"/>
      <c r="J5" s="291" t="s">
        <v>2</v>
      </c>
      <c r="K5" s="291"/>
      <c r="L5" s="291" t="s">
        <v>3</v>
      </c>
      <c r="M5" s="291"/>
      <c r="N5" s="292" t="s">
        <v>7</v>
      </c>
      <c r="O5" s="293"/>
      <c r="P5" s="99"/>
      <c r="Q5" s="100"/>
      <c r="R5" s="100"/>
      <c r="S5" s="100"/>
      <c r="T5" s="99"/>
      <c r="U5" s="99"/>
      <c r="V5" s="99"/>
      <c r="W5" s="99"/>
      <c r="X5" s="99"/>
      <c r="Y5" s="99"/>
      <c r="Z5" s="99"/>
      <c r="AA5" s="99"/>
      <c r="AB5" s="99"/>
    </row>
    <row r="6" spans="1:31" ht="17.100000000000001" customHeight="1" thickBot="1">
      <c r="A6" s="99"/>
      <c r="B6" s="301"/>
      <c r="C6" s="302"/>
      <c r="D6" s="459">
        <f>B6+1</f>
        <v>1</v>
      </c>
      <c r="E6" s="275"/>
      <c r="F6" s="336">
        <f>D6+1</f>
        <v>2</v>
      </c>
      <c r="G6" s="337"/>
      <c r="H6" s="300">
        <f t="shared" ref="H6" si="0">F6+1</f>
        <v>3</v>
      </c>
      <c r="I6" s="297"/>
      <c r="J6" s="274">
        <f t="shared" ref="J6" si="1">H6+1</f>
        <v>4</v>
      </c>
      <c r="K6" s="275"/>
      <c r="L6" s="336">
        <f t="shared" ref="L6" si="2">J6+1</f>
        <v>5</v>
      </c>
      <c r="M6" s="337"/>
      <c r="N6" s="298">
        <f t="shared" ref="N6" si="3">L6+1</f>
        <v>6</v>
      </c>
      <c r="O6" s="299"/>
      <c r="P6" s="99"/>
      <c r="Q6" s="233" t="s">
        <v>39</v>
      </c>
      <c r="R6" s="395" t="s">
        <v>304</v>
      </c>
      <c r="S6" s="396"/>
      <c r="T6" s="102"/>
      <c r="U6" s="169" t="s">
        <v>39</v>
      </c>
      <c r="V6" s="460" t="s">
        <v>342</v>
      </c>
      <c r="W6" s="461"/>
      <c r="X6" s="102"/>
      <c r="Y6" s="210" t="s">
        <v>39</v>
      </c>
      <c r="Z6" s="371" t="s">
        <v>327</v>
      </c>
      <c r="AA6" s="372"/>
      <c r="AB6" s="99"/>
      <c r="AC6" s="229" t="s">
        <v>39</v>
      </c>
      <c r="AD6" s="479" t="s">
        <v>343</v>
      </c>
      <c r="AE6" s="480"/>
    </row>
    <row r="7" spans="1:31" ht="17.100000000000001" customHeight="1">
      <c r="A7" s="99"/>
      <c r="B7" s="103"/>
      <c r="C7" s="246"/>
      <c r="D7" s="493" t="s">
        <v>286</v>
      </c>
      <c r="E7" s="306"/>
      <c r="F7" s="493" t="s">
        <v>286</v>
      </c>
      <c r="G7" s="306"/>
      <c r="H7" s="493" t="s">
        <v>286</v>
      </c>
      <c r="I7" s="306"/>
      <c r="J7" s="493" t="s">
        <v>286</v>
      </c>
      <c r="K7" s="306"/>
      <c r="L7" s="109"/>
      <c r="M7" s="103"/>
      <c r="N7" s="109"/>
      <c r="O7" s="103"/>
      <c r="P7" s="99"/>
      <c r="Q7" s="159" t="s">
        <v>25</v>
      </c>
      <c r="R7" s="254" t="s">
        <v>26</v>
      </c>
      <c r="S7" s="255"/>
      <c r="T7" s="102"/>
      <c r="U7" s="159" t="s">
        <v>25</v>
      </c>
      <c r="V7" s="254" t="s">
        <v>26</v>
      </c>
      <c r="W7" s="255"/>
      <c r="X7" s="102"/>
      <c r="Y7" s="159" t="s">
        <v>25</v>
      </c>
      <c r="Z7" s="254" t="s">
        <v>26</v>
      </c>
      <c r="AA7" s="255"/>
      <c r="AB7" s="115"/>
      <c r="AC7" s="159" t="s">
        <v>25</v>
      </c>
      <c r="AD7" s="254" t="s">
        <v>26</v>
      </c>
      <c r="AE7" s="255"/>
    </row>
    <row r="8" spans="1:31" ht="17.100000000000001" customHeight="1">
      <c r="A8" s="99"/>
      <c r="B8" s="103"/>
      <c r="C8" s="246"/>
      <c r="D8" s="478" t="s">
        <v>297</v>
      </c>
      <c r="E8" s="350"/>
      <c r="F8" s="294"/>
      <c r="G8" s="295"/>
      <c r="H8" s="294"/>
      <c r="I8" s="295"/>
      <c r="J8" s="106"/>
      <c r="K8" s="116"/>
      <c r="L8" s="127"/>
      <c r="M8" s="110"/>
      <c r="N8" s="109"/>
      <c r="O8" s="103"/>
      <c r="P8" s="99"/>
      <c r="Q8" s="165" t="s">
        <v>27</v>
      </c>
      <c r="R8" s="268" t="s">
        <v>288</v>
      </c>
      <c r="S8" s="269"/>
      <c r="T8" s="102"/>
      <c r="U8" s="165" t="s">
        <v>27</v>
      </c>
      <c r="V8" s="268" t="s">
        <v>217</v>
      </c>
      <c r="W8" s="269"/>
      <c r="X8" s="102"/>
      <c r="Y8" s="165" t="s">
        <v>27</v>
      </c>
      <c r="Z8" s="268" t="s">
        <v>324</v>
      </c>
      <c r="AA8" s="269"/>
      <c r="AB8" s="115"/>
      <c r="AC8" s="165" t="s">
        <v>27</v>
      </c>
      <c r="AD8" s="268" t="s">
        <v>346</v>
      </c>
      <c r="AE8" s="269"/>
    </row>
    <row r="9" spans="1:31" ht="17.100000000000001" customHeight="1">
      <c r="A9" s="99"/>
      <c r="B9" s="103"/>
      <c r="C9" s="246"/>
      <c r="D9" s="247"/>
      <c r="E9" s="105"/>
      <c r="F9" s="294"/>
      <c r="G9" s="295"/>
      <c r="H9" s="294"/>
      <c r="I9" s="295"/>
      <c r="J9" s="106"/>
      <c r="K9" s="116"/>
      <c r="L9" s="109"/>
      <c r="M9" s="110"/>
      <c r="N9" s="109"/>
      <c r="O9" s="103"/>
      <c r="P9" s="99"/>
      <c r="Q9" s="165" t="s">
        <v>29</v>
      </c>
      <c r="R9" s="268" t="s">
        <v>30</v>
      </c>
      <c r="S9" s="269"/>
      <c r="T9" s="102"/>
      <c r="U9" s="165" t="s">
        <v>29</v>
      </c>
      <c r="V9" s="268" t="s">
        <v>30</v>
      </c>
      <c r="W9" s="269"/>
      <c r="X9" s="102"/>
      <c r="Y9" s="165" t="s">
        <v>29</v>
      </c>
      <c r="Z9" s="268" t="s">
        <v>30</v>
      </c>
      <c r="AA9" s="269"/>
      <c r="AB9" s="115"/>
      <c r="AC9" s="165" t="s">
        <v>29</v>
      </c>
      <c r="AD9" s="268" t="s">
        <v>30</v>
      </c>
      <c r="AE9" s="269"/>
    </row>
    <row r="10" spans="1:31" ht="17.100000000000001" customHeight="1">
      <c r="A10" s="99"/>
      <c r="B10" s="103"/>
      <c r="C10" s="246"/>
      <c r="D10" s="247"/>
      <c r="E10" s="105"/>
      <c r="F10" s="104"/>
      <c r="G10" s="105"/>
      <c r="H10" s="294"/>
      <c r="I10" s="295"/>
      <c r="J10" s="106"/>
      <c r="K10" s="116"/>
      <c r="L10" s="109"/>
      <c r="M10" s="110"/>
      <c r="N10" s="109"/>
      <c r="O10" s="103"/>
      <c r="P10" s="99"/>
      <c r="Q10" s="166" t="s">
        <v>43</v>
      </c>
      <c r="R10" s="258" t="s">
        <v>296</v>
      </c>
      <c r="S10" s="259"/>
      <c r="T10" s="102"/>
      <c r="U10" s="166" t="s">
        <v>43</v>
      </c>
      <c r="V10" s="258" t="s">
        <v>313</v>
      </c>
      <c r="W10" s="259"/>
      <c r="X10" s="102"/>
      <c r="Y10" s="166" t="s">
        <v>43</v>
      </c>
      <c r="Z10" s="258" t="s">
        <v>325</v>
      </c>
      <c r="AA10" s="259"/>
      <c r="AB10" s="115"/>
      <c r="AC10" s="166" t="s">
        <v>43</v>
      </c>
      <c r="AD10" s="258" t="s">
        <v>345</v>
      </c>
      <c r="AE10" s="259"/>
    </row>
    <row r="11" spans="1:31" ht="17.100000000000001" customHeight="1" thickBot="1">
      <c r="A11" s="99"/>
      <c r="B11" s="111"/>
      <c r="C11" s="120"/>
      <c r="D11" s="121"/>
      <c r="E11" s="120"/>
      <c r="F11" s="119"/>
      <c r="G11" s="120"/>
      <c r="H11" s="294"/>
      <c r="I11" s="295"/>
      <c r="J11" s="119"/>
      <c r="K11" s="120"/>
      <c r="L11" s="112"/>
      <c r="M11" s="113"/>
      <c r="N11" s="112"/>
      <c r="O11" s="111"/>
      <c r="P11" s="99"/>
      <c r="Q11" s="166"/>
      <c r="R11" s="258" t="s">
        <v>307</v>
      </c>
      <c r="S11" s="259"/>
      <c r="T11" s="102"/>
      <c r="U11" s="165" t="s">
        <v>32</v>
      </c>
      <c r="V11" s="321" t="s">
        <v>33</v>
      </c>
      <c r="W11" s="322"/>
      <c r="X11" s="102"/>
      <c r="Y11" s="166"/>
      <c r="Z11" s="258" t="s">
        <v>333</v>
      </c>
      <c r="AA11" s="259"/>
      <c r="AB11" s="115"/>
      <c r="AC11" s="165" t="s">
        <v>32</v>
      </c>
      <c r="AD11" s="321" t="s">
        <v>33</v>
      </c>
      <c r="AE11" s="322"/>
    </row>
    <row r="12" spans="1:31" ht="17.100000000000001" customHeight="1" thickBot="1">
      <c r="A12" s="99"/>
      <c r="B12" s="296">
        <f>N6+1</f>
        <v>7</v>
      </c>
      <c r="C12" s="297"/>
      <c r="D12" s="459">
        <f>B12+1</f>
        <v>8</v>
      </c>
      <c r="E12" s="275"/>
      <c r="F12" s="274">
        <f>D12+1</f>
        <v>9</v>
      </c>
      <c r="G12" s="275"/>
      <c r="H12" s="274">
        <f t="shared" ref="H12" si="4">F12+1</f>
        <v>10</v>
      </c>
      <c r="I12" s="275"/>
      <c r="J12" s="274">
        <f t="shared" ref="J12" si="5">H12+1</f>
        <v>11</v>
      </c>
      <c r="K12" s="275"/>
      <c r="L12" s="274">
        <f t="shared" ref="L12" si="6">J12+1</f>
        <v>12</v>
      </c>
      <c r="M12" s="275"/>
      <c r="N12" s="298">
        <f t="shared" ref="N12" si="7">L12+1</f>
        <v>13</v>
      </c>
      <c r="O12" s="299"/>
      <c r="P12" s="99"/>
      <c r="Q12" s="165" t="s">
        <v>32</v>
      </c>
      <c r="R12" s="321" t="s">
        <v>33</v>
      </c>
      <c r="S12" s="322"/>
      <c r="T12" s="102"/>
      <c r="U12" s="163" t="s">
        <v>45</v>
      </c>
      <c r="V12" s="264">
        <v>46198</v>
      </c>
      <c r="W12" s="265"/>
      <c r="X12" s="102"/>
      <c r="Y12" s="165" t="s">
        <v>32</v>
      </c>
      <c r="Z12" s="321" t="s">
        <v>33</v>
      </c>
      <c r="AA12" s="322"/>
      <c r="AB12" s="115"/>
      <c r="AC12" s="163" t="s">
        <v>45</v>
      </c>
      <c r="AD12" s="264">
        <v>46217</v>
      </c>
      <c r="AE12" s="265"/>
    </row>
    <row r="13" spans="1:31" ht="17.100000000000001" customHeight="1" thickBot="1">
      <c r="A13" s="99"/>
      <c r="B13" s="103"/>
      <c r="C13" s="110"/>
      <c r="D13" s="314" t="s">
        <v>268</v>
      </c>
      <c r="E13" s="310"/>
      <c r="F13" s="294"/>
      <c r="G13" s="295"/>
      <c r="H13" s="326" t="s">
        <v>309</v>
      </c>
      <c r="I13" s="327"/>
      <c r="J13" s="326" t="s">
        <v>309</v>
      </c>
      <c r="K13" s="327"/>
      <c r="L13" s="109"/>
      <c r="M13" s="110"/>
      <c r="N13" s="109"/>
      <c r="O13" s="103"/>
      <c r="P13" s="99"/>
      <c r="Q13" s="163" t="s">
        <v>45</v>
      </c>
      <c r="R13" s="264">
        <v>46182</v>
      </c>
      <c r="S13" s="265"/>
      <c r="T13" s="102"/>
      <c r="U13" s="102"/>
      <c r="V13" s="455"/>
      <c r="W13" s="455"/>
      <c r="X13" s="115"/>
      <c r="Y13" s="163" t="s">
        <v>45</v>
      </c>
      <c r="Z13" s="264">
        <v>46203</v>
      </c>
      <c r="AA13" s="265"/>
      <c r="AB13" s="115"/>
    </row>
    <row r="14" spans="1:31" ht="17.100000000000001" customHeight="1" thickBot="1">
      <c r="A14" s="99"/>
      <c r="B14" s="103"/>
      <c r="C14" s="110"/>
      <c r="D14" s="493" t="s">
        <v>286</v>
      </c>
      <c r="E14" s="306"/>
      <c r="F14" s="294"/>
      <c r="G14" s="295"/>
      <c r="H14" s="294"/>
      <c r="I14" s="295"/>
      <c r="J14" s="351" t="s">
        <v>38</v>
      </c>
      <c r="K14" s="352"/>
      <c r="L14" s="109"/>
      <c r="M14" s="110"/>
      <c r="N14" s="109"/>
      <c r="O14" s="103"/>
      <c r="P14" s="99"/>
      <c r="T14" s="102"/>
      <c r="U14" s="164" t="s">
        <v>24</v>
      </c>
      <c r="V14" s="347"/>
      <c r="W14" s="348"/>
      <c r="X14" s="115"/>
      <c r="AB14" s="115"/>
      <c r="AC14" s="485" t="s">
        <v>9</v>
      </c>
      <c r="AD14" s="123" t="s">
        <v>347</v>
      </c>
      <c r="AE14" s="52">
        <v>5</v>
      </c>
    </row>
    <row r="15" spans="1:31" ht="17.100000000000001" customHeight="1" thickBot="1">
      <c r="A15" s="99"/>
      <c r="B15" s="103"/>
      <c r="C15" s="110"/>
      <c r="D15" s="478" t="s">
        <v>297</v>
      </c>
      <c r="E15" s="350"/>
      <c r="F15" s="294"/>
      <c r="G15" s="295"/>
      <c r="H15" s="294"/>
      <c r="I15" s="295"/>
      <c r="J15" s="104"/>
      <c r="K15" s="105"/>
      <c r="L15" s="109"/>
      <c r="M15" s="110"/>
      <c r="N15" s="109"/>
      <c r="O15" s="103"/>
      <c r="P15" s="99"/>
      <c r="Q15" s="158" t="s">
        <v>24</v>
      </c>
      <c r="R15" s="363" t="s">
        <v>295</v>
      </c>
      <c r="S15" s="364"/>
      <c r="T15" s="102"/>
      <c r="U15" s="159" t="s">
        <v>25</v>
      </c>
      <c r="V15" s="254" t="s">
        <v>26</v>
      </c>
      <c r="W15" s="255"/>
      <c r="X15" s="115"/>
      <c r="Y15" s="167" t="s">
        <v>39</v>
      </c>
      <c r="Z15" s="537" t="s">
        <v>329</v>
      </c>
      <c r="AA15" s="538"/>
      <c r="AB15" s="115"/>
      <c r="AC15" s="486"/>
      <c r="AD15" s="124" t="s">
        <v>348</v>
      </c>
      <c r="AE15" s="53">
        <v>2</v>
      </c>
    </row>
    <row r="16" spans="1:31" ht="17.100000000000001" customHeight="1">
      <c r="A16" s="99"/>
      <c r="B16" s="103"/>
      <c r="C16" s="110"/>
      <c r="D16" s="481"/>
      <c r="E16" s="295"/>
      <c r="F16" s="294"/>
      <c r="G16" s="295"/>
      <c r="H16" s="294"/>
      <c r="I16" s="295"/>
      <c r="J16" s="104"/>
      <c r="K16" s="105"/>
      <c r="L16" s="109"/>
      <c r="M16" s="110"/>
      <c r="N16" s="109"/>
      <c r="O16" s="103"/>
      <c r="P16" s="99"/>
      <c r="Q16" s="159" t="s">
        <v>25</v>
      </c>
      <c r="R16" s="254" t="s">
        <v>248</v>
      </c>
      <c r="S16" s="255"/>
      <c r="T16" s="102"/>
      <c r="U16" s="160" t="s">
        <v>27</v>
      </c>
      <c r="V16" s="256" t="s">
        <v>35</v>
      </c>
      <c r="W16" s="257"/>
      <c r="X16" s="102"/>
      <c r="Y16" s="159" t="s">
        <v>25</v>
      </c>
      <c r="Z16" s="254" t="s">
        <v>26</v>
      </c>
      <c r="AA16" s="255"/>
      <c r="AB16" s="115"/>
      <c r="AC16" s="486"/>
      <c r="AD16" s="144" t="s">
        <v>349</v>
      </c>
      <c r="AE16" s="53">
        <v>1</v>
      </c>
    </row>
    <row r="17" spans="1:31" ht="17.100000000000001" customHeight="1">
      <c r="A17" s="99"/>
      <c r="B17" s="103"/>
      <c r="C17" s="110"/>
      <c r="D17" s="481"/>
      <c r="E17" s="295"/>
      <c r="F17" s="294"/>
      <c r="G17" s="295"/>
      <c r="H17" s="294"/>
      <c r="I17" s="295"/>
      <c r="J17" s="104"/>
      <c r="K17" s="105"/>
      <c r="L17" s="109"/>
      <c r="M17" s="110"/>
      <c r="N17" s="109"/>
      <c r="O17" s="103"/>
      <c r="P17" s="99"/>
      <c r="Q17" s="160" t="s">
        <v>27</v>
      </c>
      <c r="R17" s="256" t="s">
        <v>293</v>
      </c>
      <c r="S17" s="257"/>
      <c r="T17" s="102"/>
      <c r="U17" s="160" t="s">
        <v>29</v>
      </c>
      <c r="V17" s="256" t="s">
        <v>30</v>
      </c>
      <c r="W17" s="257"/>
      <c r="X17" s="102"/>
      <c r="Y17" s="165" t="s">
        <v>27</v>
      </c>
      <c r="Z17" s="268" t="s">
        <v>330</v>
      </c>
      <c r="AA17" s="269"/>
      <c r="AB17" s="115"/>
      <c r="AC17" s="486"/>
      <c r="AD17" s="145" t="s">
        <v>350</v>
      </c>
      <c r="AE17" s="54">
        <v>8</v>
      </c>
    </row>
    <row r="18" spans="1:31" ht="17.100000000000001" customHeight="1">
      <c r="A18" s="99"/>
      <c r="B18" s="103"/>
      <c r="C18" s="110"/>
      <c r="D18" s="481"/>
      <c r="E18" s="295"/>
      <c r="F18" s="294"/>
      <c r="G18" s="295"/>
      <c r="H18" s="106"/>
      <c r="I18" s="116"/>
      <c r="J18" s="106"/>
      <c r="K18" s="116"/>
      <c r="L18" s="109"/>
      <c r="M18" s="110"/>
      <c r="N18" s="109"/>
      <c r="O18" s="103"/>
      <c r="P18" s="99"/>
      <c r="Q18" s="160" t="s">
        <v>29</v>
      </c>
      <c r="R18" s="256" t="s">
        <v>30</v>
      </c>
      <c r="S18" s="257"/>
      <c r="T18" s="102"/>
      <c r="U18" s="161" t="s">
        <v>31</v>
      </c>
      <c r="V18" s="258" t="s">
        <v>312</v>
      </c>
      <c r="W18" s="259"/>
      <c r="X18" s="102"/>
      <c r="Y18" s="165" t="s">
        <v>29</v>
      </c>
      <c r="Z18" s="268" t="s">
        <v>30</v>
      </c>
      <c r="AA18" s="269"/>
      <c r="AB18" s="115"/>
      <c r="AC18" s="486"/>
      <c r="AD18" s="145" t="s">
        <v>351</v>
      </c>
      <c r="AE18" s="54">
        <v>1</v>
      </c>
    </row>
    <row r="19" spans="1:31" ht="17.100000000000001" customHeight="1" thickBot="1">
      <c r="A19" s="99"/>
      <c r="B19" s="103"/>
      <c r="C19" s="110"/>
      <c r="D19" s="481"/>
      <c r="E19" s="295"/>
      <c r="F19" s="294"/>
      <c r="G19" s="295"/>
      <c r="H19" s="106"/>
      <c r="I19" s="116"/>
      <c r="J19" s="106"/>
      <c r="K19" s="116"/>
      <c r="L19" s="109"/>
      <c r="M19" s="110"/>
      <c r="N19" s="109"/>
      <c r="O19" s="103"/>
      <c r="P19" s="99"/>
      <c r="Q19" s="161" t="s">
        <v>31</v>
      </c>
      <c r="R19" s="463" t="s">
        <v>294</v>
      </c>
      <c r="S19" s="464"/>
      <c r="T19" s="102"/>
      <c r="U19" s="162" t="s">
        <v>32</v>
      </c>
      <c r="V19" s="260" t="s">
        <v>33</v>
      </c>
      <c r="W19" s="261"/>
      <c r="Y19" s="166" t="s">
        <v>43</v>
      </c>
      <c r="Z19" s="258" t="s">
        <v>331</v>
      </c>
      <c r="AA19" s="259"/>
      <c r="AB19" s="99"/>
      <c r="AC19" s="486"/>
      <c r="AD19" s="145" t="s">
        <v>352</v>
      </c>
      <c r="AE19" s="54">
        <v>1</v>
      </c>
    </row>
    <row r="20" spans="1:31" ht="17.100000000000001" customHeight="1" thickBot="1">
      <c r="A20" s="99"/>
      <c r="B20" s="103"/>
      <c r="C20" s="110"/>
      <c r="D20" s="481"/>
      <c r="E20" s="295"/>
      <c r="F20" s="106"/>
      <c r="G20" s="116"/>
      <c r="H20" s="106"/>
      <c r="I20" s="116"/>
      <c r="J20" s="106"/>
      <c r="K20" s="116"/>
      <c r="L20" s="109"/>
      <c r="M20" s="110"/>
      <c r="N20" s="109"/>
      <c r="O20" s="103"/>
      <c r="P20" s="99"/>
      <c r="Q20" s="193"/>
      <c r="R20" s="463" t="s">
        <v>307</v>
      </c>
      <c r="S20" s="464"/>
      <c r="T20" s="102"/>
      <c r="U20" s="102"/>
      <c r="Y20" s="165" t="s">
        <v>32</v>
      </c>
      <c r="Z20" s="321" t="s">
        <v>33</v>
      </c>
      <c r="AA20" s="322"/>
      <c r="AB20" s="99"/>
      <c r="AC20" s="486"/>
      <c r="AD20" s="147" t="s">
        <v>353</v>
      </c>
      <c r="AE20" s="54">
        <v>4</v>
      </c>
    </row>
    <row r="21" spans="1:31" ht="17.100000000000001" customHeight="1" thickBot="1">
      <c r="A21" s="99"/>
      <c r="B21" s="296">
        <f>N12+1</f>
        <v>14</v>
      </c>
      <c r="C21" s="297"/>
      <c r="D21" s="459">
        <f>B21+1</f>
        <v>15</v>
      </c>
      <c r="E21" s="275"/>
      <c r="F21" s="274">
        <f>D21+1</f>
        <v>16</v>
      </c>
      <c r="G21" s="275"/>
      <c r="H21" s="274">
        <f t="shared" ref="H21" si="8">F21+1</f>
        <v>17</v>
      </c>
      <c r="I21" s="275"/>
      <c r="J21" s="274">
        <f t="shared" ref="J21" si="9">H21+1</f>
        <v>18</v>
      </c>
      <c r="K21" s="275"/>
      <c r="L21" s="274">
        <f t="shared" ref="L21" si="10">J21+1</f>
        <v>19</v>
      </c>
      <c r="M21" s="275"/>
      <c r="N21" s="298">
        <f t="shared" ref="N21" si="11">L21+1</f>
        <v>20</v>
      </c>
      <c r="O21" s="299"/>
      <c r="P21" s="99"/>
      <c r="Q21" s="162" t="s">
        <v>32</v>
      </c>
      <c r="R21" s="321" t="s">
        <v>33</v>
      </c>
      <c r="S21" s="322"/>
      <c r="T21" s="102"/>
      <c r="U21" s="248" t="s">
        <v>39</v>
      </c>
      <c r="V21" s="369" t="s">
        <v>315</v>
      </c>
      <c r="W21" s="370"/>
      <c r="Y21" s="163" t="s">
        <v>45</v>
      </c>
      <c r="Z21" s="264">
        <v>46203</v>
      </c>
      <c r="AA21" s="265"/>
      <c r="AB21" s="99"/>
      <c r="AC21" s="486"/>
      <c r="AD21" s="144" t="s">
        <v>354</v>
      </c>
      <c r="AE21" s="53">
        <v>4</v>
      </c>
    </row>
    <row r="22" spans="1:31" ht="17.100000000000001" customHeight="1" thickBot="1">
      <c r="A22" s="99"/>
      <c r="B22" s="103"/>
      <c r="C22" s="110"/>
      <c r="D22" s="328" t="s">
        <v>314</v>
      </c>
      <c r="E22" s="329"/>
      <c r="F22" s="328" t="s">
        <v>314</v>
      </c>
      <c r="G22" s="329"/>
      <c r="H22" s="328" t="s">
        <v>314</v>
      </c>
      <c r="I22" s="329"/>
      <c r="J22" s="328" t="s">
        <v>314</v>
      </c>
      <c r="K22" s="329"/>
      <c r="L22" s="493" t="s">
        <v>104</v>
      </c>
      <c r="M22" s="306"/>
      <c r="N22" s="106"/>
      <c r="O22" s="107"/>
      <c r="P22" s="99"/>
      <c r="Q22" s="163" t="s">
        <v>34</v>
      </c>
      <c r="R22" s="264">
        <v>46183</v>
      </c>
      <c r="S22" s="265"/>
      <c r="T22" s="102"/>
      <c r="U22" s="159" t="s">
        <v>25</v>
      </c>
      <c r="V22" s="254" t="s">
        <v>26</v>
      </c>
      <c r="W22" s="255"/>
      <c r="AB22" s="99"/>
      <c r="AC22" s="486"/>
      <c r="AD22" s="144" t="s">
        <v>355</v>
      </c>
      <c r="AE22" s="53">
        <v>2</v>
      </c>
    </row>
    <row r="23" spans="1:31" ht="17.100000000000001" customHeight="1" thickBot="1">
      <c r="A23" s="99"/>
      <c r="B23" s="103"/>
      <c r="C23" s="110"/>
      <c r="D23" s="533" t="s">
        <v>150</v>
      </c>
      <c r="E23" s="416"/>
      <c r="F23" s="533" t="s">
        <v>150</v>
      </c>
      <c r="G23" s="416"/>
      <c r="H23" s="533" t="s">
        <v>150</v>
      </c>
      <c r="I23" s="416"/>
      <c r="J23" s="533" t="s">
        <v>150</v>
      </c>
      <c r="K23" s="416"/>
      <c r="L23" s="104"/>
      <c r="M23" s="105"/>
      <c r="N23" s="109"/>
      <c r="O23" s="103"/>
      <c r="P23" s="99"/>
      <c r="Q23" s="102"/>
      <c r="R23" s="536"/>
      <c r="S23" s="536"/>
      <c r="T23" s="102"/>
      <c r="U23" s="165" t="s">
        <v>27</v>
      </c>
      <c r="V23" s="268" t="s">
        <v>318</v>
      </c>
      <c r="W23" s="269"/>
      <c r="Y23" s="249" t="s">
        <v>39</v>
      </c>
      <c r="Z23" s="541" t="s">
        <v>335</v>
      </c>
      <c r="AA23" s="542"/>
      <c r="AB23" s="99"/>
      <c r="AC23" s="486"/>
      <c r="AD23" s="144" t="s">
        <v>356</v>
      </c>
      <c r="AE23" s="53">
        <v>5</v>
      </c>
    </row>
    <row r="24" spans="1:31" ht="17.100000000000001" customHeight="1" thickBot="1">
      <c r="A24" s="99"/>
      <c r="B24" s="103"/>
      <c r="C24" s="110"/>
      <c r="D24" s="107"/>
      <c r="E24" s="116"/>
      <c r="F24" s="326" t="s">
        <v>224</v>
      </c>
      <c r="G24" s="327"/>
      <c r="H24" s="550" t="s">
        <v>65</v>
      </c>
      <c r="I24" s="344"/>
      <c r="J24" s="326" t="s">
        <v>224</v>
      </c>
      <c r="K24" s="327"/>
      <c r="L24" s="104"/>
      <c r="M24" s="105"/>
      <c r="N24" s="109"/>
      <c r="O24" s="103"/>
      <c r="P24" s="99"/>
      <c r="Q24" s="168" t="s">
        <v>39</v>
      </c>
      <c r="R24" s="411" t="s">
        <v>305</v>
      </c>
      <c r="S24" s="412"/>
      <c r="T24" s="102"/>
      <c r="U24" s="165" t="s">
        <v>29</v>
      </c>
      <c r="V24" s="268" t="s">
        <v>30</v>
      </c>
      <c r="W24" s="269"/>
      <c r="Y24" s="159" t="s">
        <v>25</v>
      </c>
      <c r="Z24" s="254" t="s">
        <v>26</v>
      </c>
      <c r="AA24" s="255"/>
      <c r="AB24" s="99"/>
      <c r="AC24" s="486"/>
      <c r="AD24" s="144" t="s">
        <v>357</v>
      </c>
      <c r="AE24" s="53">
        <v>1</v>
      </c>
    </row>
    <row r="25" spans="1:31" ht="17.100000000000001" customHeight="1">
      <c r="A25" s="99"/>
      <c r="B25" s="103"/>
      <c r="C25" s="103"/>
      <c r="D25" s="106"/>
      <c r="E25" s="116"/>
      <c r="F25" s="493" t="s">
        <v>104</v>
      </c>
      <c r="G25" s="306"/>
      <c r="H25" s="326" t="s">
        <v>224</v>
      </c>
      <c r="I25" s="327"/>
      <c r="J25" s="104"/>
      <c r="K25" s="105"/>
      <c r="L25" s="104"/>
      <c r="M25" s="105"/>
      <c r="N25" s="109"/>
      <c r="O25" s="103"/>
      <c r="P25" s="99"/>
      <c r="Q25" s="159" t="s">
        <v>25</v>
      </c>
      <c r="R25" s="254" t="s">
        <v>26</v>
      </c>
      <c r="S25" s="255"/>
      <c r="T25" s="102"/>
      <c r="U25" s="166" t="s">
        <v>43</v>
      </c>
      <c r="V25" s="258" t="s">
        <v>317</v>
      </c>
      <c r="W25" s="259"/>
      <c r="Y25" s="165" t="s">
        <v>27</v>
      </c>
      <c r="Z25" s="268" t="s">
        <v>336</v>
      </c>
      <c r="AA25" s="269"/>
      <c r="AB25" s="99"/>
      <c r="AC25" s="486"/>
      <c r="AD25" s="144" t="s">
        <v>358</v>
      </c>
      <c r="AE25" s="53">
        <v>2</v>
      </c>
    </row>
    <row r="26" spans="1:31" ht="17.100000000000001" customHeight="1" thickBot="1">
      <c r="A26" s="99"/>
      <c r="B26" s="111"/>
      <c r="C26" s="111"/>
      <c r="D26" s="119"/>
      <c r="E26" s="120"/>
      <c r="F26" s="119"/>
      <c r="G26" s="120"/>
      <c r="H26" s="119"/>
      <c r="I26" s="120"/>
      <c r="J26" s="119"/>
      <c r="K26" s="120"/>
      <c r="L26" s="112"/>
      <c r="M26" s="113"/>
      <c r="N26" s="112"/>
      <c r="O26" s="111"/>
      <c r="P26" s="99"/>
      <c r="Q26" s="165" t="s">
        <v>27</v>
      </c>
      <c r="R26" s="268" t="s">
        <v>306</v>
      </c>
      <c r="S26" s="269"/>
      <c r="T26" s="102"/>
      <c r="U26" s="165" t="s">
        <v>32</v>
      </c>
      <c r="V26" s="321" t="s">
        <v>33</v>
      </c>
      <c r="W26" s="322"/>
      <c r="Y26" s="165" t="s">
        <v>29</v>
      </c>
      <c r="Z26" s="268" t="s">
        <v>30</v>
      </c>
      <c r="AA26" s="269"/>
      <c r="AB26" s="99"/>
      <c r="AC26" s="486"/>
      <c r="AD26" s="144" t="s">
        <v>359</v>
      </c>
      <c r="AE26" s="53">
        <v>1</v>
      </c>
    </row>
    <row r="27" spans="1:31" ht="17.100000000000001" customHeight="1" thickBot="1">
      <c r="A27" s="99"/>
      <c r="B27" s="296">
        <f>N21+1</f>
        <v>21</v>
      </c>
      <c r="C27" s="297"/>
      <c r="D27" s="274">
        <f>B27+1</f>
        <v>22</v>
      </c>
      <c r="E27" s="275"/>
      <c r="F27" s="274">
        <f>D27+1</f>
        <v>23</v>
      </c>
      <c r="G27" s="275"/>
      <c r="H27" s="274">
        <f t="shared" ref="H27" si="12">F27+1</f>
        <v>24</v>
      </c>
      <c r="I27" s="275"/>
      <c r="J27" s="274">
        <f t="shared" ref="J27" si="13">H27+1</f>
        <v>25</v>
      </c>
      <c r="K27" s="275"/>
      <c r="L27" s="274">
        <f t="shared" ref="L27" si="14">J27+1</f>
        <v>26</v>
      </c>
      <c r="M27" s="275"/>
      <c r="N27" s="298">
        <f t="shared" ref="N27" si="15">L27+1</f>
        <v>27</v>
      </c>
      <c r="O27" s="299"/>
      <c r="P27" s="99"/>
      <c r="Q27" s="165" t="s">
        <v>29</v>
      </c>
      <c r="R27" s="268" t="s">
        <v>30</v>
      </c>
      <c r="S27" s="269"/>
      <c r="T27" s="102"/>
      <c r="U27" s="163" t="s">
        <v>45</v>
      </c>
      <c r="V27" s="264">
        <v>46203</v>
      </c>
      <c r="W27" s="265"/>
      <c r="Y27" s="166" t="s">
        <v>43</v>
      </c>
      <c r="Z27" s="258" t="s">
        <v>337</v>
      </c>
      <c r="AA27" s="259"/>
      <c r="AB27" s="99"/>
      <c r="AC27" s="486"/>
      <c r="AD27" s="144" t="s">
        <v>360</v>
      </c>
      <c r="AE27" s="53">
        <v>1</v>
      </c>
    </row>
    <row r="28" spans="1:31" ht="17.100000000000001" customHeight="1" thickBot="1">
      <c r="A28" s="99"/>
      <c r="B28" s="107"/>
      <c r="C28" s="116"/>
      <c r="D28" s="332" t="s">
        <v>226</v>
      </c>
      <c r="E28" s="333"/>
      <c r="F28" s="332" t="s">
        <v>226</v>
      </c>
      <c r="G28" s="333"/>
      <c r="H28" s="332" t="s">
        <v>226</v>
      </c>
      <c r="I28" s="333"/>
      <c r="J28" s="332" t="s">
        <v>226</v>
      </c>
      <c r="K28" s="333"/>
      <c r="L28" s="109"/>
      <c r="M28" s="110"/>
      <c r="N28" s="109"/>
      <c r="O28" s="103"/>
      <c r="P28" s="99"/>
      <c r="Q28" s="166" t="s">
        <v>43</v>
      </c>
      <c r="R28" s="258" t="s">
        <v>308</v>
      </c>
      <c r="S28" s="259"/>
      <c r="T28" s="102"/>
      <c r="U28" s="102"/>
      <c r="V28" s="454"/>
      <c r="W28" s="454"/>
      <c r="Y28" s="165" t="s">
        <v>32</v>
      </c>
      <c r="Z28" s="321" t="s">
        <v>33</v>
      </c>
      <c r="AA28" s="322"/>
      <c r="AB28" s="99"/>
      <c r="AC28" s="530"/>
      <c r="AD28" s="148" t="s">
        <v>361</v>
      </c>
      <c r="AE28" s="149">
        <v>1</v>
      </c>
    </row>
    <row r="29" spans="1:31" ht="17.100000000000001" customHeight="1" thickBot="1">
      <c r="A29" s="99"/>
      <c r="B29" s="103"/>
      <c r="C29" s="103"/>
      <c r="D29" s="294"/>
      <c r="E29" s="295"/>
      <c r="F29" s="326" t="s">
        <v>224</v>
      </c>
      <c r="G29" s="327"/>
      <c r="H29" s="326" t="s">
        <v>224</v>
      </c>
      <c r="I29" s="327"/>
      <c r="J29" s="323" t="s">
        <v>328</v>
      </c>
      <c r="K29" s="316"/>
      <c r="L29" s="109"/>
      <c r="M29" s="110"/>
      <c r="N29" s="109"/>
      <c r="O29" s="103"/>
      <c r="P29" s="99"/>
      <c r="Q29" s="165" t="s">
        <v>32</v>
      </c>
      <c r="R29" s="321" t="s">
        <v>33</v>
      </c>
      <c r="S29" s="322"/>
      <c r="T29" s="102"/>
      <c r="U29" s="55" t="s">
        <v>39</v>
      </c>
      <c r="V29" s="452" t="s">
        <v>315</v>
      </c>
      <c r="W29" s="453"/>
      <c r="Y29" s="163" t="s">
        <v>45</v>
      </c>
      <c r="Z29" s="264">
        <v>46205</v>
      </c>
      <c r="AA29" s="265"/>
      <c r="AB29" s="99"/>
      <c r="AC29" s="55" t="s">
        <v>10</v>
      </c>
      <c r="AD29" s="534">
        <f>SUM(AE14:AE28)*88000</f>
        <v>3432000</v>
      </c>
      <c r="AE29" s="535"/>
    </row>
    <row r="30" spans="1:31" ht="17.100000000000001" customHeight="1" thickBot="1">
      <c r="A30" s="99"/>
      <c r="B30" s="103"/>
      <c r="C30" s="103"/>
      <c r="D30" s="106"/>
      <c r="E30" s="116"/>
      <c r="F30" s="294"/>
      <c r="G30" s="295"/>
      <c r="H30" s="294"/>
      <c r="I30" s="295"/>
      <c r="J30" s="109"/>
      <c r="K30" s="110"/>
      <c r="L30" s="109"/>
      <c r="M30" s="110"/>
      <c r="N30" s="109"/>
      <c r="O30" s="103"/>
      <c r="P30" s="99"/>
      <c r="Q30" s="163" t="s">
        <v>45</v>
      </c>
      <c r="R30" s="264">
        <v>46183</v>
      </c>
      <c r="S30" s="265"/>
      <c r="T30" s="102"/>
      <c r="U30" s="159" t="s">
        <v>25</v>
      </c>
      <c r="V30" s="254" t="s">
        <v>26</v>
      </c>
      <c r="W30" s="255"/>
      <c r="Y30" s="102"/>
      <c r="Z30" s="454"/>
      <c r="AA30" s="454"/>
    </row>
    <row r="31" spans="1:31" ht="17.100000000000001" customHeight="1" thickBot="1">
      <c r="A31" s="99"/>
      <c r="B31" s="103"/>
      <c r="C31" s="103"/>
      <c r="D31" s="104"/>
      <c r="E31" s="105"/>
      <c r="F31" s="104"/>
      <c r="G31" s="105"/>
      <c r="H31" s="104"/>
      <c r="I31" s="105"/>
      <c r="J31" s="104"/>
      <c r="K31" s="105"/>
      <c r="L31" s="109"/>
      <c r="M31" s="110"/>
      <c r="N31" s="109"/>
      <c r="O31" s="103"/>
      <c r="P31" s="99"/>
      <c r="Q31" s="102"/>
      <c r="R31" s="543"/>
      <c r="S31" s="543"/>
      <c r="T31" s="102"/>
      <c r="U31" s="165" t="s">
        <v>27</v>
      </c>
      <c r="V31" s="268" t="s">
        <v>316</v>
      </c>
      <c r="W31" s="269"/>
      <c r="X31" s="115"/>
      <c r="Y31" s="250" t="s">
        <v>39</v>
      </c>
      <c r="Z31" s="531" t="s">
        <v>339</v>
      </c>
      <c r="AA31" s="532"/>
    </row>
    <row r="32" spans="1:31" ht="17.100000000000001" customHeight="1" thickBot="1">
      <c r="A32" s="99"/>
      <c r="B32" s="111"/>
      <c r="C32" s="111"/>
      <c r="D32" s="112"/>
      <c r="E32" s="113"/>
      <c r="F32" s="112"/>
      <c r="G32" s="113"/>
      <c r="H32" s="112"/>
      <c r="I32" s="113"/>
      <c r="J32" s="112"/>
      <c r="K32" s="113"/>
      <c r="L32" s="112"/>
      <c r="M32" s="113"/>
      <c r="N32" s="112"/>
      <c r="O32" s="111"/>
      <c r="P32" s="99"/>
      <c r="Q32" s="245" t="s">
        <v>39</v>
      </c>
      <c r="R32" s="539" t="s">
        <v>326</v>
      </c>
      <c r="S32" s="540"/>
      <c r="T32" s="102"/>
      <c r="U32" s="165" t="s">
        <v>29</v>
      </c>
      <c r="V32" s="268" t="s">
        <v>30</v>
      </c>
      <c r="W32" s="269"/>
      <c r="X32" s="115"/>
      <c r="Y32" s="159" t="s">
        <v>25</v>
      </c>
      <c r="Z32" s="254" t="s">
        <v>26</v>
      </c>
      <c r="AA32" s="255"/>
    </row>
    <row r="33" spans="1:30" ht="17.100000000000001" customHeight="1">
      <c r="A33" s="99"/>
      <c r="B33" s="296">
        <f>N27+1</f>
        <v>28</v>
      </c>
      <c r="C33" s="297"/>
      <c r="D33" s="274">
        <f>B33+1</f>
        <v>29</v>
      </c>
      <c r="E33" s="275"/>
      <c r="F33" s="274">
        <f>D33+1</f>
        <v>30</v>
      </c>
      <c r="G33" s="275"/>
      <c r="H33" s="278"/>
      <c r="I33" s="277"/>
      <c r="J33" s="278"/>
      <c r="K33" s="277"/>
      <c r="L33" s="278"/>
      <c r="M33" s="277"/>
      <c r="N33" s="278"/>
      <c r="O33" s="276"/>
      <c r="P33" s="99"/>
      <c r="Q33" s="159" t="s">
        <v>25</v>
      </c>
      <c r="R33" s="254" t="s">
        <v>26</v>
      </c>
      <c r="S33" s="255"/>
      <c r="T33" s="102"/>
      <c r="U33" s="166" t="s">
        <v>43</v>
      </c>
      <c r="V33" s="258" t="s">
        <v>317</v>
      </c>
      <c r="W33" s="259"/>
      <c r="X33" s="115"/>
      <c r="Y33" s="165" t="s">
        <v>27</v>
      </c>
      <c r="Z33" s="268" t="s">
        <v>340</v>
      </c>
      <c r="AA33" s="269"/>
    </row>
    <row r="34" spans="1:30" ht="17.100000000000001" customHeight="1" thickBot="1">
      <c r="A34" s="99"/>
      <c r="B34" s="103"/>
      <c r="C34" s="110"/>
      <c r="D34" s="332" t="s">
        <v>226</v>
      </c>
      <c r="E34" s="333"/>
      <c r="F34" s="551" t="s">
        <v>334</v>
      </c>
      <c r="G34" s="552"/>
      <c r="H34" s="109"/>
      <c r="I34" s="110"/>
      <c r="J34" s="109"/>
      <c r="K34" s="110"/>
      <c r="L34" s="109"/>
      <c r="M34" s="110"/>
      <c r="N34" s="109"/>
      <c r="O34" s="103"/>
      <c r="P34" s="99"/>
      <c r="Q34" s="165" t="s">
        <v>27</v>
      </c>
      <c r="R34" s="268" t="s">
        <v>311</v>
      </c>
      <c r="S34" s="269"/>
      <c r="T34" s="102"/>
      <c r="U34" s="165" t="s">
        <v>32</v>
      </c>
      <c r="V34" s="321" t="s">
        <v>33</v>
      </c>
      <c r="W34" s="322"/>
      <c r="X34" s="115"/>
      <c r="Y34" s="165" t="s">
        <v>29</v>
      </c>
      <c r="Z34" s="268" t="s">
        <v>30</v>
      </c>
      <c r="AA34" s="269"/>
    </row>
    <row r="35" spans="1:30" ht="17.100000000000001" customHeight="1" thickBot="1">
      <c r="A35" s="99"/>
      <c r="B35" s="103"/>
      <c r="C35" s="110"/>
      <c r="D35" s="326" t="s">
        <v>224</v>
      </c>
      <c r="E35" s="327"/>
      <c r="F35" s="546" t="s">
        <v>338</v>
      </c>
      <c r="G35" s="547"/>
      <c r="H35" s="109"/>
      <c r="I35" s="110"/>
      <c r="J35" s="109"/>
      <c r="K35" s="110"/>
      <c r="L35" s="109"/>
      <c r="M35" s="110"/>
      <c r="N35" s="109"/>
      <c r="O35" s="103"/>
      <c r="P35" s="99"/>
      <c r="Q35" s="165" t="s">
        <v>29</v>
      </c>
      <c r="R35" s="268" t="s">
        <v>30</v>
      </c>
      <c r="S35" s="269"/>
      <c r="T35" s="102"/>
      <c r="U35" s="163" t="s">
        <v>45</v>
      </c>
      <c r="V35" s="264">
        <v>46196</v>
      </c>
      <c r="W35" s="265"/>
      <c r="X35" s="115"/>
      <c r="Y35" s="166" t="s">
        <v>43</v>
      </c>
      <c r="Z35" s="258" t="s">
        <v>341</v>
      </c>
      <c r="AA35" s="259"/>
    </row>
    <row r="36" spans="1:30" ht="17.100000000000001" customHeight="1" thickBot="1">
      <c r="A36" s="99"/>
      <c r="B36" s="103"/>
      <c r="C36" s="103"/>
      <c r="D36" s="551" t="s">
        <v>334</v>
      </c>
      <c r="E36" s="552"/>
      <c r="F36" s="548" t="s">
        <v>63</v>
      </c>
      <c r="G36" s="263"/>
      <c r="H36" s="109"/>
      <c r="I36" s="110"/>
      <c r="J36" s="109"/>
      <c r="K36" s="110"/>
      <c r="L36" s="109"/>
      <c r="M36" s="110"/>
      <c r="N36" s="109"/>
      <c r="O36" s="103"/>
      <c r="P36" s="99"/>
      <c r="Q36" s="166" t="s">
        <v>43</v>
      </c>
      <c r="R36" s="258" t="s">
        <v>310</v>
      </c>
      <c r="S36" s="259"/>
      <c r="T36" s="102"/>
      <c r="U36" s="102"/>
      <c r="V36" s="454"/>
      <c r="W36" s="454"/>
      <c r="X36" s="115"/>
      <c r="Y36" s="165" t="s">
        <v>32</v>
      </c>
      <c r="Z36" s="321" t="s">
        <v>33</v>
      </c>
      <c r="AA36" s="322"/>
    </row>
    <row r="37" spans="1:30" ht="17.100000000000001" customHeight="1" thickBot="1">
      <c r="A37" s="99"/>
      <c r="B37" s="103"/>
      <c r="C37" s="103"/>
      <c r="D37" s="109"/>
      <c r="E37" s="110"/>
      <c r="F37" s="549" t="s">
        <v>76</v>
      </c>
      <c r="G37" s="473"/>
      <c r="H37" s="109"/>
      <c r="I37" s="110"/>
      <c r="J37" s="109"/>
      <c r="K37" s="110"/>
      <c r="L37" s="109"/>
      <c r="M37" s="110"/>
      <c r="N37" s="109"/>
      <c r="O37" s="103"/>
      <c r="P37" s="99"/>
      <c r="Q37" s="166"/>
      <c r="R37" s="258" t="s">
        <v>319</v>
      </c>
      <c r="S37" s="259"/>
      <c r="T37" s="102"/>
      <c r="U37" s="178" t="s">
        <v>24</v>
      </c>
      <c r="V37" s="395" t="s">
        <v>321</v>
      </c>
      <c r="W37" s="396"/>
      <c r="X37" s="115"/>
      <c r="Y37" s="163" t="s">
        <v>45</v>
      </c>
      <c r="Z37" s="264">
        <v>46205</v>
      </c>
      <c r="AA37" s="265"/>
    </row>
    <row r="38" spans="1:30" ht="17.100000000000001" customHeight="1" thickBot="1">
      <c r="A38" s="99"/>
      <c r="B38" s="111"/>
      <c r="C38" s="111"/>
      <c r="D38" s="112"/>
      <c r="E38" s="113"/>
      <c r="F38" s="112"/>
      <c r="G38" s="113"/>
      <c r="H38" s="112"/>
      <c r="I38" s="113"/>
      <c r="J38" s="112"/>
      <c r="K38" s="113"/>
      <c r="L38" s="112"/>
      <c r="M38" s="113"/>
      <c r="N38" s="112"/>
      <c r="O38" s="111"/>
      <c r="P38" s="99"/>
      <c r="Q38" s="166"/>
      <c r="R38" s="258" t="s">
        <v>332</v>
      </c>
      <c r="S38" s="259"/>
      <c r="T38" s="102"/>
      <c r="U38" s="159" t="s">
        <v>25</v>
      </c>
      <c r="V38" s="254" t="s">
        <v>248</v>
      </c>
      <c r="W38" s="255"/>
      <c r="X38" s="115"/>
      <c r="Y38" s="115"/>
    </row>
    <row r="39" spans="1:30" ht="17.100000000000001" customHeight="1" thickBot="1">
      <c r="A39" s="118"/>
      <c r="B39" s="142"/>
      <c r="C39" s="143"/>
      <c r="D39" s="142"/>
      <c r="E39" s="143"/>
      <c r="F39" s="142"/>
      <c r="G39" s="143"/>
      <c r="H39" s="142"/>
      <c r="I39" s="143"/>
      <c r="J39" s="142"/>
      <c r="K39" s="143"/>
      <c r="L39" s="142"/>
      <c r="M39" s="99"/>
      <c r="N39" s="99"/>
      <c r="O39" s="99"/>
      <c r="P39" s="99"/>
      <c r="Q39" s="166"/>
      <c r="R39" s="258" t="s">
        <v>333</v>
      </c>
      <c r="S39" s="259"/>
      <c r="T39" s="102"/>
      <c r="U39" s="160" t="s">
        <v>27</v>
      </c>
      <c r="V39" s="256" t="s">
        <v>254</v>
      </c>
      <c r="W39" s="257"/>
      <c r="X39" s="115"/>
      <c r="Y39" s="251" t="s">
        <v>39</v>
      </c>
      <c r="Z39" s="252" t="s">
        <v>343</v>
      </c>
      <c r="AA39" s="253"/>
    </row>
    <row r="40" spans="1:30" ht="17.100000000000001" customHeight="1" thickBot="1">
      <c r="A40" s="118"/>
      <c r="B40" s="397" t="s">
        <v>127</v>
      </c>
      <c r="C40" s="398"/>
      <c r="D40" s="397" t="s">
        <v>128</v>
      </c>
      <c r="E40" s="399"/>
      <c r="F40" s="399" t="s">
        <v>129</v>
      </c>
      <c r="G40" s="399"/>
      <c r="H40" s="399" t="s">
        <v>130</v>
      </c>
      <c r="I40" s="399"/>
      <c r="J40" s="399" t="s">
        <v>131</v>
      </c>
      <c r="K40" s="399"/>
      <c r="L40" s="399" t="s">
        <v>132</v>
      </c>
      <c r="M40" s="399"/>
      <c r="N40" s="399" t="s">
        <v>133</v>
      </c>
      <c r="O40" s="398"/>
      <c r="P40" s="99"/>
      <c r="Q40" s="165" t="s">
        <v>32</v>
      </c>
      <c r="R40" s="321" t="s">
        <v>33</v>
      </c>
      <c r="S40" s="322"/>
      <c r="T40" s="102"/>
      <c r="U40" s="160" t="s">
        <v>29</v>
      </c>
      <c r="V40" s="256" t="s">
        <v>30</v>
      </c>
      <c r="W40" s="257"/>
      <c r="X40" s="115"/>
      <c r="Y40" s="159" t="s">
        <v>25</v>
      </c>
      <c r="Z40" s="254" t="s">
        <v>26</v>
      </c>
      <c r="AA40" s="255"/>
    </row>
    <row r="41" spans="1:30" ht="17.100000000000001" customHeight="1" thickBot="1">
      <c r="A41" s="118"/>
      <c r="B41" s="400" t="s">
        <v>134</v>
      </c>
      <c r="C41" s="401"/>
      <c r="D41" s="402" t="s">
        <v>142</v>
      </c>
      <c r="E41" s="403"/>
      <c r="F41" s="404" t="s">
        <v>214</v>
      </c>
      <c r="G41" s="404"/>
      <c r="H41" s="404" t="s">
        <v>241</v>
      </c>
      <c r="I41" s="404"/>
      <c r="J41" s="404" t="s">
        <v>279</v>
      </c>
      <c r="K41" s="404"/>
      <c r="L41" s="404" t="s">
        <v>303</v>
      </c>
      <c r="M41" s="404"/>
      <c r="N41" s="404" t="s">
        <v>362</v>
      </c>
      <c r="O41" s="405"/>
      <c r="P41" s="99"/>
      <c r="Q41" s="163" t="s">
        <v>45</v>
      </c>
      <c r="R41" s="264">
        <v>46203</v>
      </c>
      <c r="S41" s="265"/>
      <c r="T41" s="102"/>
      <c r="U41" s="161" t="s">
        <v>250</v>
      </c>
      <c r="V41" s="463" t="s">
        <v>322</v>
      </c>
      <c r="W41" s="464"/>
      <c r="X41" s="115"/>
      <c r="Y41" s="165" t="s">
        <v>27</v>
      </c>
      <c r="Z41" s="268" t="s">
        <v>344</v>
      </c>
      <c r="AA41" s="269"/>
    </row>
    <row r="42" spans="1:30" ht="17.100000000000001" customHeight="1" thickBot="1">
      <c r="A42" s="118"/>
      <c r="B42" s="406" t="s">
        <v>135</v>
      </c>
      <c r="C42" s="407"/>
      <c r="D42" s="408">
        <v>4950000</v>
      </c>
      <c r="E42" s="409"/>
      <c r="F42" s="410">
        <v>3300000</v>
      </c>
      <c r="G42" s="409"/>
      <c r="H42" s="410">
        <v>2024000</v>
      </c>
      <c r="I42" s="409"/>
      <c r="J42" s="410">
        <v>2992000</v>
      </c>
      <c r="K42" s="409"/>
      <c r="L42" s="410">
        <v>1078000</v>
      </c>
      <c r="M42" s="409"/>
      <c r="N42" s="410">
        <v>3432000</v>
      </c>
      <c r="O42" s="407"/>
      <c r="P42" s="99"/>
      <c r="Q42" s="102"/>
      <c r="R42" s="462"/>
      <c r="S42" s="462"/>
      <c r="T42" s="102"/>
      <c r="U42" s="193"/>
      <c r="V42" s="463" t="s">
        <v>323</v>
      </c>
      <c r="W42" s="464"/>
      <c r="X42" s="115"/>
      <c r="Y42" s="165" t="s">
        <v>29</v>
      </c>
      <c r="Z42" s="268" t="s">
        <v>30</v>
      </c>
      <c r="AA42" s="269"/>
      <c r="AB42" s="99"/>
    </row>
    <row r="43" spans="1:30" ht="18" thickBot="1">
      <c r="A43" s="118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99"/>
      <c r="Q43" s="102"/>
      <c r="R43" s="454"/>
      <c r="S43" s="454"/>
      <c r="T43" s="102"/>
      <c r="U43" s="162" t="s">
        <v>32</v>
      </c>
      <c r="V43" s="321" t="s">
        <v>33</v>
      </c>
      <c r="W43" s="322"/>
      <c r="X43" s="102"/>
      <c r="Y43" s="166" t="s">
        <v>43</v>
      </c>
      <c r="Z43" s="258" t="s">
        <v>345</v>
      </c>
      <c r="AA43" s="259"/>
      <c r="AB43" s="99"/>
    </row>
    <row r="44" spans="1:30" ht="18" thickBot="1">
      <c r="A44" s="118"/>
      <c r="B44" s="397" t="s">
        <v>127</v>
      </c>
      <c r="C44" s="398"/>
      <c r="D44" s="397" t="s">
        <v>136</v>
      </c>
      <c r="E44" s="399"/>
      <c r="F44" s="399" t="s">
        <v>137</v>
      </c>
      <c r="G44" s="399"/>
      <c r="H44" s="399" t="s">
        <v>138</v>
      </c>
      <c r="I44" s="399"/>
      <c r="J44" s="399" t="s">
        <v>139</v>
      </c>
      <c r="K44" s="399"/>
      <c r="L44" s="399" t="s">
        <v>140</v>
      </c>
      <c r="M44" s="399"/>
      <c r="N44" s="399" t="s">
        <v>141</v>
      </c>
      <c r="O44" s="398"/>
      <c r="P44" s="99"/>
      <c r="Q44" s="102"/>
      <c r="R44" s="454"/>
      <c r="S44" s="454"/>
      <c r="T44" s="102"/>
      <c r="U44" s="163" t="s">
        <v>320</v>
      </c>
      <c r="V44" s="264">
        <v>46196</v>
      </c>
      <c r="W44" s="265"/>
      <c r="X44" s="102"/>
      <c r="Y44" s="165" t="s">
        <v>32</v>
      </c>
      <c r="Z44" s="321" t="s">
        <v>33</v>
      </c>
      <c r="AA44" s="322"/>
      <c r="AB44" s="99"/>
    </row>
    <row r="45" spans="1:30" ht="18" thickBot="1">
      <c r="A45" s="118"/>
      <c r="B45" s="400" t="s">
        <v>134</v>
      </c>
      <c r="C45" s="401"/>
      <c r="D45" s="402"/>
      <c r="E45" s="403"/>
      <c r="F45" s="404"/>
      <c r="G45" s="404"/>
      <c r="H45" s="404"/>
      <c r="I45" s="404"/>
      <c r="J45" s="404"/>
      <c r="K45" s="404"/>
      <c r="L45" s="404"/>
      <c r="M45" s="404"/>
      <c r="N45" s="404"/>
      <c r="O45" s="405"/>
      <c r="P45" s="99"/>
      <c r="Q45" s="102"/>
      <c r="R45" s="454"/>
      <c r="S45" s="454"/>
      <c r="T45" s="102"/>
      <c r="U45" s="99"/>
      <c r="V45" s="99"/>
      <c r="W45" s="99"/>
      <c r="X45" s="102"/>
      <c r="Y45" s="163" t="s">
        <v>45</v>
      </c>
      <c r="Z45" s="264">
        <v>46217</v>
      </c>
      <c r="AA45" s="265"/>
      <c r="AB45" s="99"/>
    </row>
    <row r="46" spans="1:30" ht="18" thickBot="1">
      <c r="A46" s="99"/>
      <c r="B46" s="406" t="s">
        <v>135</v>
      </c>
      <c r="C46" s="407"/>
      <c r="D46" s="408"/>
      <c r="E46" s="409"/>
      <c r="F46" s="410"/>
      <c r="G46" s="409"/>
      <c r="H46" s="410"/>
      <c r="I46" s="409"/>
      <c r="J46" s="410"/>
      <c r="K46" s="409"/>
      <c r="L46" s="410"/>
      <c r="M46" s="409"/>
      <c r="N46" s="410"/>
      <c r="O46" s="407"/>
      <c r="P46" s="99"/>
      <c r="Q46" s="102"/>
      <c r="R46" s="458"/>
      <c r="S46" s="458"/>
      <c r="T46" s="102"/>
      <c r="X46" s="102"/>
      <c r="Y46" s="102"/>
      <c r="Z46" s="102"/>
      <c r="AA46" s="102"/>
      <c r="AB46" s="99"/>
      <c r="AC46" s="30"/>
      <c r="AD46" s="30"/>
    </row>
    <row r="47" spans="1:30" ht="17.25">
      <c r="A47" s="99"/>
      <c r="B47" s="545"/>
      <c r="C47" s="545"/>
      <c r="D47" s="545"/>
      <c r="E47" s="545"/>
      <c r="F47" s="545"/>
      <c r="G47" s="545"/>
      <c r="H47" s="545"/>
      <c r="I47" s="545"/>
      <c r="J47" s="545"/>
      <c r="K47" s="545"/>
      <c r="L47" s="545"/>
      <c r="M47" s="545"/>
      <c r="N47" s="545"/>
      <c r="O47" s="545"/>
      <c r="P47" s="99"/>
      <c r="Q47" s="102"/>
      <c r="R47" s="458"/>
      <c r="S47" s="458"/>
      <c r="T47" s="102"/>
      <c r="X47" s="102"/>
      <c r="Y47" s="102"/>
      <c r="Z47" s="102"/>
      <c r="AA47" s="102"/>
      <c r="AB47" s="99"/>
      <c r="AC47" s="30"/>
      <c r="AD47" s="30"/>
    </row>
    <row r="48" spans="1:30" ht="17.25">
      <c r="A48" s="99"/>
      <c r="B48" s="545"/>
      <c r="C48" s="545"/>
      <c r="D48" s="544"/>
      <c r="E48" s="545"/>
      <c r="F48" s="544"/>
      <c r="G48" s="545"/>
      <c r="H48" s="544"/>
      <c r="I48" s="545"/>
      <c r="J48" s="544"/>
      <c r="K48" s="545"/>
      <c r="L48" s="544"/>
      <c r="M48" s="545"/>
      <c r="N48" s="544"/>
      <c r="O48" s="545"/>
      <c r="P48" s="99"/>
      <c r="Q48" s="102"/>
      <c r="R48" s="454"/>
      <c r="S48" s="454"/>
      <c r="T48" s="102"/>
      <c r="X48" s="102"/>
      <c r="Y48" s="102"/>
      <c r="Z48" s="102"/>
      <c r="AA48" s="102"/>
      <c r="AB48" s="99"/>
      <c r="AC48" s="30"/>
      <c r="AD48" s="30"/>
    </row>
    <row r="49" spans="1:30">
      <c r="A49" s="99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99"/>
      <c r="Q49" s="102"/>
      <c r="R49" s="455"/>
      <c r="S49" s="455"/>
      <c r="T49" s="99"/>
      <c r="X49" s="99"/>
      <c r="Y49" s="102"/>
      <c r="Z49" s="102"/>
      <c r="AA49" s="102"/>
      <c r="AB49" s="99"/>
      <c r="AC49" s="30"/>
      <c r="AD49" s="30"/>
    </row>
    <row r="50" spans="1:3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X50" s="99"/>
      <c r="Y50" s="99"/>
      <c r="Z50" s="99"/>
      <c r="AA50" s="99"/>
      <c r="AB50" s="99"/>
      <c r="AC50" s="30"/>
      <c r="AD50" s="30"/>
    </row>
    <row r="51" spans="1:30">
      <c r="Q51" s="99"/>
      <c r="R51" s="99"/>
      <c r="S51" s="99"/>
      <c r="Y51" s="99"/>
      <c r="Z51" s="99"/>
      <c r="AA51" s="99"/>
      <c r="AB51" s="30"/>
      <c r="AC51" s="30"/>
      <c r="AD51" s="30"/>
    </row>
    <row r="52" spans="1:30">
      <c r="Y52" s="30"/>
      <c r="Z52" s="30"/>
      <c r="AA52" s="30"/>
      <c r="AB52" s="30"/>
      <c r="AC52" s="30"/>
      <c r="AD52" s="30"/>
    </row>
    <row r="53" spans="1:30">
      <c r="B53" s="30"/>
      <c r="C53" s="30"/>
      <c r="D53" s="30"/>
      <c r="E53" s="30"/>
      <c r="F53" s="30"/>
      <c r="G53" s="30"/>
      <c r="H53" s="30"/>
      <c r="I53" s="30"/>
      <c r="J53" s="30"/>
      <c r="Y53" s="30"/>
      <c r="Z53" s="30"/>
      <c r="AA53" s="30"/>
      <c r="AB53" s="30"/>
      <c r="AC53" s="30"/>
      <c r="AD53" s="30"/>
    </row>
    <row r="54" spans="1:30">
      <c r="B54" s="30"/>
      <c r="C54" s="30"/>
      <c r="D54" s="30"/>
      <c r="E54" s="30"/>
      <c r="F54" s="30"/>
      <c r="G54" s="30"/>
      <c r="H54" s="30"/>
      <c r="I54" s="30"/>
      <c r="J54" s="30"/>
      <c r="Y54" s="30"/>
      <c r="Z54" s="30"/>
      <c r="AA54" s="30"/>
      <c r="AB54" s="30"/>
      <c r="AC54" s="30"/>
      <c r="AD54" s="30"/>
    </row>
    <row r="55" spans="1:30">
      <c r="B55" s="30"/>
      <c r="C55" s="30"/>
      <c r="D55" s="30"/>
      <c r="E55" s="30"/>
      <c r="F55" s="30"/>
      <c r="G55" s="30"/>
      <c r="H55" s="30"/>
      <c r="I55" s="30"/>
      <c r="J55" s="30"/>
      <c r="Y55" s="30"/>
      <c r="Z55" s="30"/>
      <c r="AA55" s="30"/>
      <c r="AC55" s="30"/>
      <c r="AD55" s="30"/>
    </row>
    <row r="56" spans="1:30">
      <c r="B56" s="30"/>
      <c r="C56" s="30"/>
      <c r="D56" s="30"/>
      <c r="E56" s="30"/>
      <c r="F56" s="30"/>
      <c r="G56" s="30"/>
      <c r="H56" s="30"/>
      <c r="I56" s="30"/>
      <c r="J56" s="30"/>
      <c r="AC56" s="30"/>
      <c r="AD56" s="30"/>
    </row>
    <row r="57" spans="1:30">
      <c r="B57" s="30"/>
      <c r="C57" s="30"/>
      <c r="D57" s="30"/>
      <c r="E57" s="30"/>
      <c r="F57" s="30"/>
      <c r="G57" s="30"/>
      <c r="H57" s="30"/>
      <c r="I57" s="30"/>
      <c r="J57" s="30"/>
      <c r="AC57" s="30"/>
      <c r="AD57" s="30"/>
    </row>
    <row r="58" spans="1:30">
      <c r="AC58" s="30"/>
      <c r="AD58" s="30"/>
    </row>
  </sheetData>
  <mergeCells count="293">
    <mergeCell ref="B45:C45"/>
    <mergeCell ref="D45:E45"/>
    <mergeCell ref="F45:G45"/>
    <mergeCell ref="H45:I45"/>
    <mergeCell ref="J45:K45"/>
    <mergeCell ref="L45:M45"/>
    <mergeCell ref="N45:O45"/>
    <mergeCell ref="D36:E36"/>
    <mergeCell ref="F34:G34"/>
    <mergeCell ref="Z24:AA24"/>
    <mergeCell ref="H10:I10"/>
    <mergeCell ref="J24:K24"/>
    <mergeCell ref="L22:M22"/>
    <mergeCell ref="B12:C12"/>
    <mergeCell ref="H30:I30"/>
    <mergeCell ref="B33:C33"/>
    <mergeCell ref="D33:E33"/>
    <mergeCell ref="F33:G33"/>
    <mergeCell ref="H33:I33"/>
    <mergeCell ref="D14:E14"/>
    <mergeCell ref="D15:E15"/>
    <mergeCell ref="D16:E16"/>
    <mergeCell ref="F24:G24"/>
    <mergeCell ref="F13:G13"/>
    <mergeCell ref="F19:G19"/>
    <mergeCell ref="F14:G14"/>
    <mergeCell ref="F12:G12"/>
    <mergeCell ref="F28:G28"/>
    <mergeCell ref="H25:I25"/>
    <mergeCell ref="J21:K21"/>
    <mergeCell ref="F22:G22"/>
    <mergeCell ref="B46:C46"/>
    <mergeCell ref="D48:E48"/>
    <mergeCell ref="B48:C48"/>
    <mergeCell ref="F30:G30"/>
    <mergeCell ref="D22:E22"/>
    <mergeCell ref="F46:G46"/>
    <mergeCell ref="H46:I46"/>
    <mergeCell ref="J46:K46"/>
    <mergeCell ref="L46:M46"/>
    <mergeCell ref="F47:G47"/>
    <mergeCell ref="F48:G48"/>
    <mergeCell ref="H47:I47"/>
    <mergeCell ref="H48:I48"/>
    <mergeCell ref="J47:K47"/>
    <mergeCell ref="J48:K48"/>
    <mergeCell ref="L47:M47"/>
    <mergeCell ref="L48:M48"/>
    <mergeCell ref="H24:I24"/>
    <mergeCell ref="D46:E46"/>
    <mergeCell ref="D23:E23"/>
    <mergeCell ref="J29:K29"/>
    <mergeCell ref="B47:C47"/>
    <mergeCell ref="H23:I23"/>
    <mergeCell ref="D47:E47"/>
    <mergeCell ref="D40:E40"/>
    <mergeCell ref="D41:E41"/>
    <mergeCell ref="D42:E42"/>
    <mergeCell ref="J40:K40"/>
    <mergeCell ref="J41:K41"/>
    <mergeCell ref="J42:K42"/>
    <mergeCell ref="B44:C44"/>
    <mergeCell ref="B40:C40"/>
    <mergeCell ref="F40:G40"/>
    <mergeCell ref="H40:I40"/>
    <mergeCell ref="B41:C41"/>
    <mergeCell ref="F41:G41"/>
    <mergeCell ref="H41:I41"/>
    <mergeCell ref="B42:C42"/>
    <mergeCell ref="F42:G42"/>
    <mergeCell ref="H42:I42"/>
    <mergeCell ref="D44:E44"/>
    <mergeCell ref="F44:G44"/>
    <mergeCell ref="H44:I44"/>
    <mergeCell ref="J44:K44"/>
    <mergeCell ref="R47:S47"/>
    <mergeCell ref="R48:S48"/>
    <mergeCell ref="J33:K33"/>
    <mergeCell ref="L27:M27"/>
    <mergeCell ref="N27:O27"/>
    <mergeCell ref="J27:K27"/>
    <mergeCell ref="R40:S40"/>
    <mergeCell ref="N46:O46"/>
    <mergeCell ref="R45:S45"/>
    <mergeCell ref="R46:S46"/>
    <mergeCell ref="L41:M41"/>
    <mergeCell ref="N41:O41"/>
    <mergeCell ref="L42:M42"/>
    <mergeCell ref="N42:O42"/>
    <mergeCell ref="L44:M44"/>
    <mergeCell ref="N44:O44"/>
    <mergeCell ref="N40:O40"/>
    <mergeCell ref="F35:G35"/>
    <mergeCell ref="F36:G36"/>
    <mergeCell ref="F37:G37"/>
    <mergeCell ref="H22:I22"/>
    <mergeCell ref="J22:K22"/>
    <mergeCell ref="R43:S43"/>
    <mergeCell ref="R44:S44"/>
    <mergeCell ref="R28:S28"/>
    <mergeCell ref="R26:S26"/>
    <mergeCell ref="L40:M40"/>
    <mergeCell ref="N21:O21"/>
    <mergeCell ref="V37:W37"/>
    <mergeCell ref="R21:S21"/>
    <mergeCell ref="R29:S29"/>
    <mergeCell ref="R36:S36"/>
    <mergeCell ref="R31:S31"/>
    <mergeCell ref="R49:S49"/>
    <mergeCell ref="R16:S16"/>
    <mergeCell ref="R22:S22"/>
    <mergeCell ref="V28:W28"/>
    <mergeCell ref="V29:W29"/>
    <mergeCell ref="V31:W31"/>
    <mergeCell ref="V32:W32"/>
    <mergeCell ref="V22:W22"/>
    <mergeCell ref="V23:W23"/>
    <mergeCell ref="V34:W34"/>
    <mergeCell ref="V44:W44"/>
    <mergeCell ref="R25:S25"/>
    <mergeCell ref="N48:O48"/>
    <mergeCell ref="R38:S38"/>
    <mergeCell ref="N47:O47"/>
    <mergeCell ref="R42:S42"/>
    <mergeCell ref="R41:S41"/>
    <mergeCell ref="R30:S30"/>
    <mergeCell ref="V41:W41"/>
    <mergeCell ref="V42:W42"/>
    <mergeCell ref="V43:W43"/>
    <mergeCell ref="Z9:AA9"/>
    <mergeCell ref="Z10:AA10"/>
    <mergeCell ref="Z30:AA30"/>
    <mergeCell ref="V35:W35"/>
    <mergeCell ref="V33:W33"/>
    <mergeCell ref="V21:W21"/>
    <mergeCell ref="V36:W36"/>
    <mergeCell ref="Z32:AA32"/>
    <mergeCell ref="Z33:AA33"/>
    <mergeCell ref="Z34:AA34"/>
    <mergeCell ref="Z35:AA35"/>
    <mergeCell ref="Z36:AA36"/>
    <mergeCell ref="Z37:AA37"/>
    <mergeCell ref="Z39:AA39"/>
    <mergeCell ref="Z40:AA40"/>
    <mergeCell ref="Z41:AA41"/>
    <mergeCell ref="V30:W30"/>
    <mergeCell ref="V27:W27"/>
    <mergeCell ref="Z42:AA42"/>
    <mergeCell ref="Z43:AA43"/>
    <mergeCell ref="V38:W38"/>
    <mergeCell ref="V39:W39"/>
    <mergeCell ref="V40:W40"/>
    <mergeCell ref="R32:S32"/>
    <mergeCell ref="R33:S33"/>
    <mergeCell ref="R34:S34"/>
    <mergeCell ref="R35:S35"/>
    <mergeCell ref="Z12:AA12"/>
    <mergeCell ref="Z13:AA13"/>
    <mergeCell ref="Z23:AA23"/>
    <mergeCell ref="Z28:AA28"/>
    <mergeCell ref="R7:S7"/>
    <mergeCell ref="R23:S23"/>
    <mergeCell ref="R24:S24"/>
    <mergeCell ref="R15:S15"/>
    <mergeCell ref="V24:W24"/>
    <mergeCell ref="V25:W25"/>
    <mergeCell ref="V26:W26"/>
    <mergeCell ref="R27:S27"/>
    <mergeCell ref="R8:S8"/>
    <mergeCell ref="R9:S9"/>
    <mergeCell ref="V11:W11"/>
    <mergeCell ref="V13:W13"/>
    <mergeCell ref="R12:S12"/>
    <mergeCell ref="L6:M6"/>
    <mergeCell ref="D7:E7"/>
    <mergeCell ref="D20:E20"/>
    <mergeCell ref="D19:E19"/>
    <mergeCell ref="D12:E12"/>
    <mergeCell ref="AD29:AE29"/>
    <mergeCell ref="R17:S17"/>
    <mergeCell ref="V6:W6"/>
    <mergeCell ref="V7:W7"/>
    <mergeCell ref="V15:W15"/>
    <mergeCell ref="R6:S6"/>
    <mergeCell ref="Z6:AA6"/>
    <mergeCell ref="Z29:AA29"/>
    <mergeCell ref="V10:W10"/>
    <mergeCell ref="V18:W18"/>
    <mergeCell ref="V9:W9"/>
    <mergeCell ref="V17:W17"/>
    <mergeCell ref="V8:W8"/>
    <mergeCell ref="V16:W16"/>
    <mergeCell ref="V12:W12"/>
    <mergeCell ref="R10:S10"/>
    <mergeCell ref="R11:S11"/>
    <mergeCell ref="R18:S18"/>
    <mergeCell ref="R20:S20"/>
    <mergeCell ref="Q2:S2"/>
    <mergeCell ref="Q3:S4"/>
    <mergeCell ref="B4:O4"/>
    <mergeCell ref="B5:C5"/>
    <mergeCell ref="D5:E5"/>
    <mergeCell ref="F5:G5"/>
    <mergeCell ref="H5:I5"/>
    <mergeCell ref="J5:K5"/>
    <mergeCell ref="L5:M5"/>
    <mergeCell ref="N5:O5"/>
    <mergeCell ref="L12:M12"/>
    <mergeCell ref="H12:I12"/>
    <mergeCell ref="H11:I11"/>
    <mergeCell ref="J12:K12"/>
    <mergeCell ref="J13:K13"/>
    <mergeCell ref="L21:M21"/>
    <mergeCell ref="H17:I17"/>
    <mergeCell ref="D28:E28"/>
    <mergeCell ref="B2:O3"/>
    <mergeCell ref="N6:O6"/>
    <mergeCell ref="B27:C27"/>
    <mergeCell ref="D27:E27"/>
    <mergeCell ref="F27:G27"/>
    <mergeCell ref="J6:K6"/>
    <mergeCell ref="B6:C6"/>
    <mergeCell ref="F7:G7"/>
    <mergeCell ref="H7:I7"/>
    <mergeCell ref="D8:E8"/>
    <mergeCell ref="F8:G8"/>
    <mergeCell ref="D6:E6"/>
    <mergeCell ref="F6:G6"/>
    <mergeCell ref="H6:I6"/>
    <mergeCell ref="B21:C21"/>
    <mergeCell ref="D21:E21"/>
    <mergeCell ref="J7:K7"/>
    <mergeCell ref="D29:E29"/>
    <mergeCell ref="F29:G29"/>
    <mergeCell ref="H28:I28"/>
    <mergeCell ref="J28:K28"/>
    <mergeCell ref="D13:E13"/>
    <mergeCell ref="H8:I8"/>
    <mergeCell ref="F9:G9"/>
    <mergeCell ref="H9:I9"/>
    <mergeCell ref="D17:E17"/>
    <mergeCell ref="F16:G16"/>
    <mergeCell ref="F17:G17"/>
    <mergeCell ref="D18:E18"/>
    <mergeCell ref="F18:G18"/>
    <mergeCell ref="H16:I16"/>
    <mergeCell ref="F21:G21"/>
    <mergeCell ref="H21:I21"/>
    <mergeCell ref="F15:G15"/>
    <mergeCell ref="H13:I13"/>
    <mergeCell ref="F23:G23"/>
    <mergeCell ref="J23:K23"/>
    <mergeCell ref="H27:I27"/>
    <mergeCell ref="N12:O12"/>
    <mergeCell ref="D34:E34"/>
    <mergeCell ref="D35:E35"/>
    <mergeCell ref="R39:S39"/>
    <mergeCell ref="Z11:AA11"/>
    <mergeCell ref="R13:S13"/>
    <mergeCell ref="H15:I15"/>
    <mergeCell ref="H14:I14"/>
    <mergeCell ref="Z16:AA16"/>
    <mergeCell ref="Z17:AA17"/>
    <mergeCell ref="Z18:AA18"/>
    <mergeCell ref="Z19:AA19"/>
    <mergeCell ref="Z20:AA20"/>
    <mergeCell ref="Z21:AA21"/>
    <mergeCell ref="V14:W14"/>
    <mergeCell ref="V19:W19"/>
    <mergeCell ref="J14:K14"/>
    <mergeCell ref="R19:S19"/>
    <mergeCell ref="R37:S37"/>
    <mergeCell ref="F25:G25"/>
    <mergeCell ref="N33:O33"/>
    <mergeCell ref="L33:M33"/>
    <mergeCell ref="H29:I29"/>
    <mergeCell ref="Z31:AA31"/>
    <mergeCell ref="Z44:AA44"/>
    <mergeCell ref="Z45:AA45"/>
    <mergeCell ref="AD6:AE6"/>
    <mergeCell ref="AD7:AE7"/>
    <mergeCell ref="AD8:AE8"/>
    <mergeCell ref="AD9:AE9"/>
    <mergeCell ref="AD10:AE10"/>
    <mergeCell ref="AD11:AE11"/>
    <mergeCell ref="AD12:AE12"/>
    <mergeCell ref="AC14:AC28"/>
    <mergeCell ref="Z7:AA7"/>
    <mergeCell ref="Z25:AA25"/>
    <mergeCell ref="Z26:AA26"/>
    <mergeCell ref="Z27:AA27"/>
    <mergeCell ref="Z15:AA15"/>
    <mergeCell ref="Z8:AA8"/>
  </mergeCells>
  <phoneticPr fontId="1" type="noConversion"/>
  <pageMargins left="0.25" right="0.25" top="0.75" bottom="0.75" header="0.3" footer="0.3"/>
  <pageSetup paperSize="9"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7"/>
  <sheetViews>
    <sheetView tabSelected="1" view="pageBreakPreview" zoomScale="70" zoomScaleNormal="85" zoomScaleSheetLayoutView="70" workbookViewId="0">
      <selection activeCell="W30" sqref="W30"/>
    </sheetView>
  </sheetViews>
  <sheetFormatPr defaultColWidth="9" defaultRowHeight="16.5"/>
  <cols>
    <col min="1" max="1" width="5.625" style="1" customWidth="1"/>
    <col min="2" max="15" width="9" style="1"/>
    <col min="16" max="16" width="5.625" style="1" customWidth="1"/>
    <col min="17" max="19" width="10.125" style="1" customWidth="1"/>
    <col min="20" max="20" width="5.625" style="1" customWidth="1"/>
    <col min="21" max="23" width="10.125" style="1" customWidth="1"/>
    <col min="24" max="24" width="5.625" style="1" customWidth="1"/>
    <col min="25" max="27" width="10.125" style="1" customWidth="1"/>
    <col min="28" max="28" width="5.625" style="1" customWidth="1"/>
    <col min="29" max="16384" width="9" style="1"/>
  </cols>
  <sheetData>
    <row r="1" spans="1:27" ht="17.25" thickBo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7" ht="16.5" customHeight="1">
      <c r="A2" s="31"/>
      <c r="B2" s="504" t="s">
        <v>8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31"/>
      <c r="Q2" s="506" t="s">
        <v>0</v>
      </c>
      <c r="R2" s="507"/>
      <c r="S2" s="508"/>
      <c r="T2" s="31"/>
      <c r="U2" s="31"/>
      <c r="V2" s="31"/>
      <c r="W2" s="31"/>
      <c r="X2" s="31"/>
    </row>
    <row r="3" spans="1:27" ht="16.5" customHeight="1" thickBot="1">
      <c r="A3" s="31"/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31"/>
      <c r="Q3" s="509">
        <f>COUNTA($B$7:$O$11,$B$13:$O$17,$B$19:$O$23,$B$25:$O$29,$B$31:$O$35)*88000</f>
        <v>352000</v>
      </c>
      <c r="R3" s="510"/>
      <c r="S3" s="511"/>
      <c r="T3" s="31"/>
      <c r="U3" s="31"/>
      <c r="V3" s="31"/>
      <c r="W3" s="31"/>
      <c r="X3" s="31"/>
    </row>
    <row r="4" spans="1:27" ht="21.75" customHeight="1" thickBot="1">
      <c r="A4" s="31"/>
      <c r="B4" s="515" t="s">
        <v>19</v>
      </c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515"/>
      <c r="P4" s="31"/>
      <c r="Q4" s="512"/>
      <c r="R4" s="513"/>
      <c r="S4" s="514"/>
      <c r="T4" s="31"/>
      <c r="U4" s="31"/>
      <c r="V4" s="31"/>
      <c r="W4" s="31"/>
      <c r="X4" s="31"/>
    </row>
    <row r="5" spans="1:27" ht="30" customHeight="1" thickBot="1">
      <c r="A5" s="31"/>
      <c r="B5" s="516" t="s">
        <v>4</v>
      </c>
      <c r="C5" s="517"/>
      <c r="D5" s="518" t="s">
        <v>1</v>
      </c>
      <c r="E5" s="518"/>
      <c r="F5" s="518" t="s">
        <v>5</v>
      </c>
      <c r="G5" s="518"/>
      <c r="H5" s="518" t="s">
        <v>6</v>
      </c>
      <c r="I5" s="518"/>
      <c r="J5" s="518" t="s">
        <v>2</v>
      </c>
      <c r="K5" s="518"/>
      <c r="L5" s="518" t="s">
        <v>3</v>
      </c>
      <c r="M5" s="518"/>
      <c r="N5" s="519" t="s">
        <v>7</v>
      </c>
      <c r="O5" s="520"/>
      <c r="P5" s="31"/>
      <c r="Q5" s="32"/>
      <c r="R5" s="32"/>
      <c r="S5" s="32"/>
      <c r="T5" s="33"/>
      <c r="U5" s="33"/>
      <c r="V5" s="33"/>
      <c r="W5" s="33"/>
      <c r="X5" s="31"/>
    </row>
    <row r="6" spans="1:27" ht="17.100000000000001" customHeight="1" thickBot="1">
      <c r="A6" s="31"/>
      <c r="B6" s="497"/>
      <c r="C6" s="498"/>
      <c r="D6" s="497"/>
      <c r="E6" s="498"/>
      <c r="F6" s="499"/>
      <c r="G6" s="498"/>
      <c r="H6" s="500">
        <f t="shared" ref="H6" si="0">F6+1</f>
        <v>1</v>
      </c>
      <c r="I6" s="501"/>
      <c r="J6" s="500">
        <f t="shared" ref="J6" si="1">H6+1</f>
        <v>2</v>
      </c>
      <c r="K6" s="501"/>
      <c r="L6" s="500">
        <f t="shared" ref="L6" si="2">J6+1</f>
        <v>3</v>
      </c>
      <c r="M6" s="501"/>
      <c r="N6" s="502">
        <f>L6+1</f>
        <v>4</v>
      </c>
      <c r="O6" s="503"/>
      <c r="P6" s="31"/>
      <c r="Q6" s="251" t="s">
        <v>39</v>
      </c>
      <c r="R6" s="252" t="s">
        <v>343</v>
      </c>
      <c r="S6" s="253"/>
      <c r="T6" s="94"/>
      <c r="U6" s="94"/>
      <c r="V6" s="485" t="s">
        <v>9</v>
      </c>
      <c r="W6" s="123"/>
      <c r="X6" s="52"/>
      <c r="Y6" s="94"/>
      <c r="Z6" s="489"/>
      <c r="AA6" s="489"/>
    </row>
    <row r="7" spans="1:27" ht="17.100000000000001" customHeight="1">
      <c r="A7" s="31"/>
      <c r="B7" s="34"/>
      <c r="C7" s="34"/>
      <c r="D7" s="35"/>
      <c r="E7" s="36"/>
      <c r="F7" s="494"/>
      <c r="G7" s="495"/>
      <c r="H7" s="548" t="s">
        <v>63</v>
      </c>
      <c r="I7" s="263"/>
      <c r="J7" s="548" t="s">
        <v>63</v>
      </c>
      <c r="K7" s="263"/>
      <c r="L7" s="39"/>
      <c r="M7" s="38"/>
      <c r="N7" s="37"/>
      <c r="O7" s="34"/>
      <c r="P7" s="31"/>
      <c r="Q7" s="159" t="s">
        <v>25</v>
      </c>
      <c r="R7" s="254" t="s">
        <v>26</v>
      </c>
      <c r="S7" s="255"/>
      <c r="T7" s="94"/>
      <c r="U7" s="94"/>
      <c r="V7" s="486"/>
      <c r="W7" s="124"/>
      <c r="X7" s="53"/>
      <c r="Y7" s="94"/>
      <c r="Z7" s="483"/>
      <c r="AA7" s="483"/>
    </row>
    <row r="8" spans="1:27" ht="17.100000000000001" customHeight="1">
      <c r="A8" s="31"/>
      <c r="B8" s="34"/>
      <c r="C8" s="34"/>
      <c r="D8" s="37"/>
      <c r="E8" s="38"/>
      <c r="F8" s="494"/>
      <c r="G8" s="495"/>
      <c r="H8" s="549" t="s">
        <v>76</v>
      </c>
      <c r="I8" s="473"/>
      <c r="J8" s="549" t="s">
        <v>76</v>
      </c>
      <c r="K8" s="473"/>
      <c r="L8" s="39"/>
      <c r="M8" s="38"/>
      <c r="N8" s="37"/>
      <c r="O8" s="34"/>
      <c r="P8" s="31"/>
      <c r="Q8" s="165" t="s">
        <v>27</v>
      </c>
      <c r="R8" s="268" t="s">
        <v>344</v>
      </c>
      <c r="S8" s="269"/>
      <c r="T8" s="94"/>
      <c r="U8" s="94"/>
      <c r="V8" s="486"/>
      <c r="W8" s="144"/>
      <c r="X8" s="53"/>
      <c r="Y8" s="94"/>
      <c r="Z8" s="483"/>
      <c r="AA8" s="483"/>
    </row>
    <row r="9" spans="1:27" ht="17.100000000000001" customHeight="1">
      <c r="A9" s="31"/>
      <c r="B9" s="34"/>
      <c r="C9" s="34"/>
      <c r="D9" s="37"/>
      <c r="E9" s="38"/>
      <c r="F9" s="37"/>
      <c r="G9" s="38"/>
      <c r="H9" s="37"/>
      <c r="I9" s="38"/>
      <c r="J9" s="37"/>
      <c r="K9" s="38"/>
      <c r="L9" s="37"/>
      <c r="M9" s="38"/>
      <c r="N9" s="37"/>
      <c r="O9" s="34"/>
      <c r="P9" s="31"/>
      <c r="Q9" s="165" t="s">
        <v>29</v>
      </c>
      <c r="R9" s="268" t="s">
        <v>30</v>
      </c>
      <c r="S9" s="269"/>
      <c r="T9" s="94"/>
      <c r="U9" s="94"/>
      <c r="V9" s="486"/>
      <c r="W9" s="145"/>
      <c r="X9" s="54"/>
      <c r="Y9" s="94"/>
      <c r="Z9" s="483"/>
      <c r="AA9" s="483"/>
    </row>
    <row r="10" spans="1:27" ht="17.100000000000001" customHeight="1">
      <c r="A10" s="31"/>
      <c r="B10" s="34"/>
      <c r="C10" s="34"/>
      <c r="D10" s="37"/>
      <c r="E10" s="38"/>
      <c r="F10" s="37"/>
      <c r="G10" s="38"/>
      <c r="H10" s="37"/>
      <c r="I10" s="38"/>
      <c r="J10" s="37"/>
      <c r="K10" s="38"/>
      <c r="L10" s="37"/>
      <c r="M10" s="38"/>
      <c r="N10" s="37"/>
      <c r="O10" s="34"/>
      <c r="P10" s="31"/>
      <c r="Q10" s="166" t="s">
        <v>43</v>
      </c>
      <c r="R10" s="258" t="s">
        <v>363</v>
      </c>
      <c r="S10" s="259"/>
      <c r="T10" s="94"/>
      <c r="U10" s="94"/>
      <c r="V10" s="486"/>
      <c r="W10" s="145"/>
      <c r="X10" s="54"/>
      <c r="Y10" s="94"/>
      <c r="Z10" s="484"/>
      <c r="AA10" s="484"/>
    </row>
    <row r="11" spans="1:27" ht="17.100000000000001" customHeight="1" thickBot="1">
      <c r="A11" s="31"/>
      <c r="B11" s="40"/>
      <c r="C11" s="40"/>
      <c r="D11" s="41"/>
      <c r="E11" s="42"/>
      <c r="F11" s="41"/>
      <c r="G11" s="42"/>
      <c r="H11" s="41"/>
      <c r="I11" s="42"/>
      <c r="J11" s="41"/>
      <c r="K11" s="42"/>
      <c r="L11" s="41"/>
      <c r="M11" s="42"/>
      <c r="N11" s="41"/>
      <c r="O11" s="40"/>
      <c r="P11" s="31"/>
      <c r="Q11" s="165" t="s">
        <v>32</v>
      </c>
      <c r="R11" s="321" t="s">
        <v>33</v>
      </c>
      <c r="S11" s="322"/>
      <c r="T11" s="94"/>
      <c r="U11" s="94"/>
      <c r="V11" s="486"/>
      <c r="W11" s="145"/>
      <c r="X11" s="54"/>
      <c r="Y11" s="94"/>
      <c r="Z11" s="483"/>
      <c r="AA11" s="483"/>
    </row>
    <row r="12" spans="1:27" ht="17.100000000000001" customHeight="1" thickBot="1">
      <c r="A12" s="31"/>
      <c r="B12" s="521">
        <f>N6+1</f>
        <v>5</v>
      </c>
      <c r="C12" s="522"/>
      <c r="D12" s="500">
        <f>B12+1</f>
        <v>6</v>
      </c>
      <c r="E12" s="501"/>
      <c r="F12" s="500">
        <f>D12+1</f>
        <v>7</v>
      </c>
      <c r="G12" s="501"/>
      <c r="H12" s="500">
        <f t="shared" ref="H12" si="3">F12+1</f>
        <v>8</v>
      </c>
      <c r="I12" s="501"/>
      <c r="J12" s="500">
        <f t="shared" ref="J12" si="4">H12+1</f>
        <v>9</v>
      </c>
      <c r="K12" s="501"/>
      <c r="L12" s="500">
        <f t="shared" ref="L12" si="5">J12+1</f>
        <v>10</v>
      </c>
      <c r="M12" s="501"/>
      <c r="N12" s="502">
        <f t="shared" ref="N12" si="6">L12+1</f>
        <v>11</v>
      </c>
      <c r="O12" s="503"/>
      <c r="P12" s="31"/>
      <c r="Q12" s="163" t="s">
        <v>45</v>
      </c>
      <c r="R12" s="264">
        <v>46217</v>
      </c>
      <c r="S12" s="265"/>
      <c r="T12" s="94"/>
      <c r="U12" s="94"/>
      <c r="V12" s="486"/>
      <c r="W12" s="147"/>
      <c r="X12" s="54"/>
      <c r="Y12" s="94"/>
      <c r="Z12" s="555"/>
      <c r="AA12" s="476"/>
    </row>
    <row r="13" spans="1:27" ht="17.100000000000001" customHeight="1" thickBot="1">
      <c r="A13" s="31"/>
      <c r="B13" s="34"/>
      <c r="C13" s="34"/>
      <c r="D13" s="494"/>
      <c r="E13" s="495"/>
      <c r="F13" s="494"/>
      <c r="G13" s="495"/>
      <c r="H13" s="494"/>
      <c r="I13" s="495"/>
      <c r="J13" s="494"/>
      <c r="K13" s="495"/>
      <c r="L13" s="37"/>
      <c r="M13" s="38"/>
      <c r="N13" s="37"/>
      <c r="O13" s="34"/>
      <c r="P13" s="31"/>
      <c r="T13" s="94"/>
      <c r="U13" s="13"/>
      <c r="V13" s="486"/>
      <c r="W13" s="144"/>
      <c r="X13" s="53"/>
      <c r="Y13" s="13"/>
      <c r="Z13" s="13"/>
      <c r="AA13" s="13"/>
    </row>
    <row r="14" spans="1:27" ht="17.100000000000001" customHeight="1" thickBot="1">
      <c r="A14" s="31"/>
      <c r="B14" s="34"/>
      <c r="C14" s="34"/>
      <c r="D14" s="494"/>
      <c r="E14" s="495"/>
      <c r="F14" s="494"/>
      <c r="G14" s="495"/>
      <c r="H14" s="494"/>
      <c r="I14" s="495"/>
      <c r="J14" s="494"/>
      <c r="K14" s="495"/>
      <c r="L14" s="37"/>
      <c r="M14" s="38"/>
      <c r="N14" s="37"/>
      <c r="O14" s="34"/>
      <c r="P14" s="31"/>
      <c r="Q14" s="229" t="s">
        <v>39</v>
      </c>
      <c r="R14" s="479" t="s">
        <v>343</v>
      </c>
      <c r="S14" s="480"/>
      <c r="T14" s="94"/>
      <c r="U14" s="94"/>
      <c r="V14" s="486"/>
      <c r="W14" s="144"/>
      <c r="X14" s="53"/>
      <c r="Y14" s="94"/>
      <c r="Z14" s="489"/>
      <c r="AA14" s="489"/>
    </row>
    <row r="15" spans="1:27" ht="17.100000000000001" customHeight="1">
      <c r="A15" s="31"/>
      <c r="B15" s="34"/>
      <c r="C15" s="34"/>
      <c r="D15" s="95"/>
      <c r="E15" s="96"/>
      <c r="F15" s="494"/>
      <c r="G15" s="495"/>
      <c r="H15" s="95"/>
      <c r="I15" s="96"/>
      <c r="J15" s="35"/>
      <c r="K15" s="36"/>
      <c r="L15" s="37"/>
      <c r="M15" s="38"/>
      <c r="N15" s="37"/>
      <c r="O15" s="34"/>
      <c r="P15" s="31"/>
      <c r="Q15" s="159" t="s">
        <v>25</v>
      </c>
      <c r="R15" s="254" t="s">
        <v>26</v>
      </c>
      <c r="S15" s="255"/>
      <c r="T15" s="94"/>
      <c r="U15" s="94"/>
      <c r="V15" s="486"/>
      <c r="W15" s="144"/>
      <c r="X15" s="53"/>
      <c r="Y15" s="94"/>
      <c r="Z15" s="483"/>
      <c r="AA15" s="483"/>
    </row>
    <row r="16" spans="1:27" ht="17.100000000000001" customHeight="1" thickBot="1">
      <c r="A16" s="31"/>
      <c r="B16" s="34"/>
      <c r="C16" s="34"/>
      <c r="D16" s="37"/>
      <c r="E16" s="38"/>
      <c r="F16" s="37"/>
      <c r="G16" s="38"/>
      <c r="H16" s="37"/>
      <c r="I16" s="38"/>
      <c r="J16" s="35"/>
      <c r="K16" s="36"/>
      <c r="L16" s="37"/>
      <c r="M16" s="38"/>
      <c r="N16" s="37"/>
      <c r="O16" s="34"/>
      <c r="P16" s="31"/>
      <c r="Q16" s="165" t="s">
        <v>27</v>
      </c>
      <c r="R16" s="268" t="s">
        <v>346</v>
      </c>
      <c r="S16" s="269"/>
      <c r="T16" s="94"/>
      <c r="U16" s="94"/>
      <c r="V16" s="530"/>
      <c r="W16" s="148"/>
      <c r="X16" s="149"/>
      <c r="Y16" s="94"/>
      <c r="Z16" s="483"/>
      <c r="AA16" s="483"/>
    </row>
    <row r="17" spans="1:27" ht="17.100000000000001" customHeight="1" thickBot="1">
      <c r="A17" s="31"/>
      <c r="B17" s="40"/>
      <c r="C17" s="40"/>
      <c r="D17" s="41"/>
      <c r="E17" s="42"/>
      <c r="F17" s="41"/>
      <c r="G17" s="42"/>
      <c r="H17" s="41"/>
      <c r="I17" s="42"/>
      <c r="J17" s="41"/>
      <c r="K17" s="42"/>
      <c r="L17" s="41"/>
      <c r="M17" s="42"/>
      <c r="N17" s="41"/>
      <c r="O17" s="40"/>
      <c r="P17" s="31"/>
      <c r="Q17" s="165" t="s">
        <v>29</v>
      </c>
      <c r="R17" s="268" t="s">
        <v>30</v>
      </c>
      <c r="S17" s="269"/>
      <c r="T17" s="94"/>
      <c r="U17" s="94"/>
      <c r="V17" s="55" t="s">
        <v>10</v>
      </c>
      <c r="W17" s="534">
        <f>SUM(X6:X16)*88000</f>
        <v>0</v>
      </c>
      <c r="X17" s="535"/>
      <c r="Y17" s="94"/>
      <c r="Z17" s="483"/>
      <c r="AA17" s="483"/>
    </row>
    <row r="18" spans="1:27" ht="17.100000000000001" customHeight="1">
      <c r="A18" s="31"/>
      <c r="B18" s="521">
        <f>N12+1</f>
        <v>12</v>
      </c>
      <c r="C18" s="522"/>
      <c r="D18" s="500">
        <f>B18+1</f>
        <v>13</v>
      </c>
      <c r="E18" s="501"/>
      <c r="F18" s="500">
        <f>D18+1</f>
        <v>14</v>
      </c>
      <c r="G18" s="501"/>
      <c r="H18" s="500">
        <f t="shared" ref="H18" si="7">F18+1</f>
        <v>15</v>
      </c>
      <c r="I18" s="501"/>
      <c r="J18" s="500">
        <f t="shared" ref="J18" si="8">H18+1</f>
        <v>16</v>
      </c>
      <c r="K18" s="501"/>
      <c r="L18" s="500">
        <f t="shared" ref="L18" si="9">J18+1</f>
        <v>17</v>
      </c>
      <c r="M18" s="501"/>
      <c r="N18" s="502">
        <f t="shared" ref="N18" si="10">L18+1</f>
        <v>18</v>
      </c>
      <c r="O18" s="503"/>
      <c r="P18" s="31"/>
      <c r="Q18" s="166" t="s">
        <v>43</v>
      </c>
      <c r="R18" s="258" t="s">
        <v>363</v>
      </c>
      <c r="S18" s="259"/>
      <c r="T18" s="94"/>
      <c r="U18" s="94"/>
      <c r="V18" s="484"/>
      <c r="W18" s="484"/>
      <c r="X18" s="94"/>
      <c r="Y18" s="94"/>
      <c r="Z18" s="484"/>
      <c r="AA18" s="484"/>
    </row>
    <row r="19" spans="1:27" ht="17.100000000000001" customHeight="1" thickBot="1">
      <c r="A19" s="31"/>
      <c r="B19" s="34"/>
      <c r="C19" s="38"/>
      <c r="D19" s="494"/>
      <c r="E19" s="495"/>
      <c r="F19" s="494"/>
      <c r="G19" s="495"/>
      <c r="H19" s="494"/>
      <c r="I19" s="495"/>
      <c r="J19" s="494"/>
      <c r="K19" s="495"/>
      <c r="L19" s="494"/>
      <c r="M19" s="495"/>
      <c r="N19" s="35"/>
      <c r="O19" s="43"/>
      <c r="P19" s="31"/>
      <c r="Q19" s="165" t="s">
        <v>32</v>
      </c>
      <c r="R19" s="321" t="s">
        <v>33</v>
      </c>
      <c r="S19" s="322"/>
      <c r="T19" s="94"/>
      <c r="U19" s="94"/>
      <c r="V19" s="484"/>
      <c r="W19" s="484"/>
      <c r="X19" s="94"/>
      <c r="Y19" s="94"/>
      <c r="Z19" s="483"/>
      <c r="AA19" s="483"/>
    </row>
    <row r="20" spans="1:27" ht="17.100000000000001" customHeight="1" thickBot="1">
      <c r="A20" s="31"/>
      <c r="B20" s="34"/>
      <c r="C20" s="34"/>
      <c r="D20" s="494"/>
      <c r="E20" s="495"/>
      <c r="F20" s="494"/>
      <c r="G20" s="495"/>
      <c r="H20" s="494"/>
      <c r="I20" s="495"/>
      <c r="J20" s="95"/>
      <c r="K20" s="96"/>
      <c r="L20" s="37"/>
      <c r="M20" s="38"/>
      <c r="N20" s="37"/>
      <c r="O20" s="34"/>
      <c r="P20" s="31"/>
      <c r="Q20" s="163" t="s">
        <v>45</v>
      </c>
      <c r="R20" s="264">
        <v>46217</v>
      </c>
      <c r="S20" s="265"/>
      <c r="T20" s="94"/>
      <c r="U20" s="94"/>
      <c r="V20" s="483"/>
      <c r="W20" s="483"/>
      <c r="X20" s="94"/>
      <c r="Y20" s="94"/>
      <c r="Z20" s="555"/>
      <c r="AA20" s="476"/>
    </row>
    <row r="21" spans="1:27" ht="17.100000000000001" customHeight="1">
      <c r="A21" s="31"/>
      <c r="B21" s="34"/>
      <c r="C21" s="34"/>
      <c r="D21" s="494"/>
      <c r="E21" s="495"/>
      <c r="F21" s="95"/>
      <c r="G21" s="96"/>
      <c r="H21" s="95"/>
      <c r="I21" s="96"/>
      <c r="J21" s="95"/>
      <c r="K21" s="96"/>
      <c r="L21" s="37"/>
      <c r="M21" s="38"/>
      <c r="N21" s="37"/>
      <c r="O21" s="34"/>
      <c r="P21" s="31"/>
      <c r="Q21" s="94"/>
      <c r="R21" s="483"/>
      <c r="S21" s="483"/>
      <c r="T21" s="94"/>
      <c r="U21" s="94"/>
      <c r="V21" s="555"/>
      <c r="W21" s="476"/>
      <c r="X21" s="94"/>
      <c r="Y21" s="13"/>
      <c r="Z21" s="13"/>
      <c r="AA21" s="13"/>
    </row>
    <row r="22" spans="1:27" ht="17.100000000000001" customHeight="1">
      <c r="A22" s="31"/>
      <c r="B22" s="34"/>
      <c r="C22" s="34"/>
      <c r="D22" s="95"/>
      <c r="E22" s="96"/>
      <c r="F22" s="95"/>
      <c r="G22" s="96"/>
      <c r="H22" s="95"/>
      <c r="I22" s="96"/>
      <c r="J22" s="95"/>
      <c r="K22" s="96"/>
      <c r="L22" s="37"/>
      <c r="M22" s="38"/>
      <c r="N22" s="37"/>
      <c r="O22" s="34"/>
      <c r="P22" s="31"/>
      <c r="Q22" s="94"/>
      <c r="R22" s="476"/>
      <c r="S22" s="476"/>
      <c r="T22" s="94"/>
      <c r="U22" s="94"/>
      <c r="V22" s="15"/>
      <c r="W22" s="15"/>
      <c r="X22" s="94"/>
      <c r="Y22" s="559"/>
      <c r="Z22" s="152"/>
      <c r="AA22" s="18"/>
    </row>
    <row r="23" spans="1:27" ht="17.100000000000001" customHeight="1">
      <c r="A23" s="31"/>
      <c r="B23" s="40"/>
      <c r="C23" s="40"/>
      <c r="D23" s="41"/>
      <c r="E23" s="42"/>
      <c r="F23" s="41"/>
      <c r="G23" s="42"/>
      <c r="H23" s="41"/>
      <c r="I23" s="42"/>
      <c r="J23" s="41"/>
      <c r="K23" s="42"/>
      <c r="L23" s="41"/>
      <c r="M23" s="42"/>
      <c r="N23" s="41"/>
      <c r="O23" s="40"/>
      <c r="P23" s="31"/>
      <c r="Q23" s="15"/>
      <c r="R23" s="15"/>
      <c r="S23" s="15"/>
      <c r="T23" s="94"/>
      <c r="U23" s="94"/>
      <c r="V23" s="482"/>
      <c r="W23" s="482"/>
      <c r="X23" s="94"/>
      <c r="Y23" s="559"/>
      <c r="Z23" s="153"/>
      <c r="AA23" s="18"/>
    </row>
    <row r="24" spans="1:27" ht="17.100000000000001" customHeight="1">
      <c r="A24" s="31"/>
      <c r="B24" s="521">
        <f>N18+1</f>
        <v>19</v>
      </c>
      <c r="C24" s="522"/>
      <c r="D24" s="500">
        <f>B24+1</f>
        <v>20</v>
      </c>
      <c r="E24" s="501"/>
      <c r="F24" s="500">
        <f>D24+1</f>
        <v>21</v>
      </c>
      <c r="G24" s="501"/>
      <c r="H24" s="500">
        <f t="shared" ref="H24" si="11">F24+1</f>
        <v>22</v>
      </c>
      <c r="I24" s="501"/>
      <c r="J24" s="500">
        <f t="shared" ref="J24" si="12">H24+1</f>
        <v>23</v>
      </c>
      <c r="K24" s="501"/>
      <c r="L24" s="500">
        <f t="shared" ref="L24" si="13">J24+1</f>
        <v>24</v>
      </c>
      <c r="M24" s="501"/>
      <c r="N24" s="502">
        <f t="shared" ref="N24" si="14">L24+1</f>
        <v>25</v>
      </c>
      <c r="O24" s="503"/>
      <c r="P24" s="31"/>
      <c r="Q24" s="94"/>
      <c r="R24" s="557"/>
      <c r="S24" s="557"/>
      <c r="T24" s="94"/>
      <c r="U24" s="94"/>
      <c r="V24" s="483"/>
      <c r="W24" s="483"/>
      <c r="X24" s="94"/>
      <c r="Y24" s="559"/>
      <c r="Z24" s="154"/>
      <c r="AA24" s="18"/>
    </row>
    <row r="25" spans="1:27" ht="17.100000000000001" customHeight="1">
      <c r="A25" s="31"/>
      <c r="B25" s="43"/>
      <c r="C25" s="36"/>
      <c r="D25" s="494"/>
      <c r="E25" s="495"/>
      <c r="F25" s="494"/>
      <c r="G25" s="495"/>
      <c r="H25" s="35"/>
      <c r="I25" s="36"/>
      <c r="J25" s="494"/>
      <c r="K25" s="495"/>
      <c r="L25" s="37"/>
      <c r="M25" s="38"/>
      <c r="N25" s="37"/>
      <c r="O25" s="34"/>
      <c r="P25" s="31"/>
      <c r="Q25" s="94"/>
      <c r="R25" s="483"/>
      <c r="S25" s="483"/>
      <c r="T25" s="94"/>
      <c r="U25" s="94"/>
      <c r="V25" s="483"/>
      <c r="W25" s="483"/>
      <c r="X25" s="94"/>
      <c r="Y25" s="559"/>
      <c r="Z25" s="154"/>
      <c r="AA25" s="18"/>
    </row>
    <row r="26" spans="1:27" ht="17.100000000000001" customHeight="1">
      <c r="A26" s="31"/>
      <c r="B26" s="34"/>
      <c r="C26" s="34"/>
      <c r="D26" s="494"/>
      <c r="E26" s="495"/>
      <c r="F26" s="494"/>
      <c r="G26" s="495"/>
      <c r="H26" s="35"/>
      <c r="I26" s="36"/>
      <c r="J26" s="35"/>
      <c r="K26" s="36"/>
      <c r="L26" s="37"/>
      <c r="M26" s="38"/>
      <c r="N26" s="37"/>
      <c r="O26" s="34"/>
      <c r="P26" s="31"/>
      <c r="Q26" s="94"/>
      <c r="R26" s="483"/>
      <c r="S26" s="483"/>
      <c r="T26" s="94"/>
      <c r="U26" s="94"/>
      <c r="V26" s="483"/>
      <c r="W26" s="483"/>
      <c r="X26" s="94"/>
      <c r="Y26" s="559"/>
      <c r="Z26" s="154"/>
      <c r="AA26" s="18"/>
    </row>
    <row r="27" spans="1:27" ht="17.100000000000001" customHeight="1">
      <c r="A27" s="31"/>
      <c r="B27" s="34"/>
      <c r="C27" s="34"/>
      <c r="D27" s="494"/>
      <c r="E27" s="495"/>
      <c r="F27" s="494"/>
      <c r="G27" s="495"/>
      <c r="H27" s="35"/>
      <c r="I27" s="36"/>
      <c r="J27" s="35"/>
      <c r="K27" s="36"/>
      <c r="L27" s="37"/>
      <c r="M27" s="38"/>
      <c r="N27" s="37"/>
      <c r="O27" s="34"/>
      <c r="P27" s="31"/>
      <c r="Q27" s="94"/>
      <c r="R27" s="483"/>
      <c r="S27" s="483"/>
      <c r="T27" s="94"/>
      <c r="U27" s="94"/>
      <c r="V27" s="484"/>
      <c r="W27" s="484"/>
      <c r="X27" s="94"/>
      <c r="Y27" s="559"/>
      <c r="Z27" s="154"/>
      <c r="AA27" s="18"/>
    </row>
    <row r="28" spans="1:27" ht="17.100000000000001" customHeight="1">
      <c r="A28" s="31"/>
      <c r="B28" s="34"/>
      <c r="C28" s="34"/>
      <c r="D28" s="95"/>
      <c r="E28" s="96"/>
      <c r="F28" s="95"/>
      <c r="G28" s="96"/>
      <c r="H28" s="35"/>
      <c r="I28" s="36"/>
      <c r="J28" s="35"/>
      <c r="K28" s="36"/>
      <c r="L28" s="37"/>
      <c r="M28" s="38"/>
      <c r="N28" s="37"/>
      <c r="O28" s="34"/>
      <c r="P28" s="31"/>
      <c r="Q28" s="94"/>
      <c r="R28" s="484"/>
      <c r="S28" s="484"/>
      <c r="T28" s="94"/>
      <c r="U28" s="94"/>
      <c r="V28" s="483"/>
      <c r="W28" s="483"/>
      <c r="X28" s="94"/>
      <c r="Y28" s="559"/>
      <c r="Z28" s="153"/>
      <c r="AA28" s="18"/>
    </row>
    <row r="29" spans="1:27" ht="17.100000000000001" customHeight="1">
      <c r="A29" s="31"/>
      <c r="B29" s="40"/>
      <c r="C29" s="40"/>
      <c r="D29" s="41"/>
      <c r="E29" s="42"/>
      <c r="F29" s="41"/>
      <c r="G29" s="42"/>
      <c r="H29" s="41"/>
      <c r="I29" s="42"/>
      <c r="J29" s="41"/>
      <c r="K29" s="42"/>
      <c r="L29" s="41"/>
      <c r="M29" s="42"/>
      <c r="N29" s="41"/>
      <c r="O29" s="40"/>
      <c r="P29" s="31"/>
      <c r="Q29" s="94"/>
      <c r="R29" s="484"/>
      <c r="S29" s="484"/>
      <c r="T29" s="94"/>
      <c r="U29" s="94"/>
      <c r="V29" s="555"/>
      <c r="W29" s="476"/>
      <c r="X29" s="94"/>
      <c r="Y29" s="559"/>
      <c r="Z29" s="154"/>
      <c r="AA29" s="18"/>
    </row>
    <row r="30" spans="1:27" ht="17.100000000000001" customHeight="1">
      <c r="A30" s="31"/>
      <c r="B30" s="521">
        <f>N24+1</f>
        <v>26</v>
      </c>
      <c r="C30" s="522"/>
      <c r="D30" s="500">
        <f>B30+1</f>
        <v>27</v>
      </c>
      <c r="E30" s="501"/>
      <c r="F30" s="500">
        <f>D30+1</f>
        <v>28</v>
      </c>
      <c r="G30" s="501"/>
      <c r="H30" s="500">
        <f>F30+1</f>
        <v>29</v>
      </c>
      <c r="I30" s="501"/>
      <c r="J30" s="500">
        <f>H30+1</f>
        <v>30</v>
      </c>
      <c r="K30" s="501"/>
      <c r="L30" s="500">
        <f>J30+1</f>
        <v>31</v>
      </c>
      <c r="M30" s="501"/>
      <c r="N30" s="526"/>
      <c r="O30" s="527"/>
      <c r="P30" s="31"/>
      <c r="Q30" s="94"/>
      <c r="R30" s="483"/>
      <c r="S30" s="483"/>
      <c r="T30" s="94"/>
      <c r="U30" s="94"/>
      <c r="V30" s="94"/>
      <c r="W30" s="94"/>
      <c r="X30" s="94"/>
      <c r="Y30" s="559"/>
      <c r="Z30" s="154"/>
      <c r="AA30" s="18"/>
    </row>
    <row r="31" spans="1:27" ht="17.100000000000001" customHeight="1">
      <c r="A31" s="31"/>
      <c r="B31" s="34"/>
      <c r="C31" s="38"/>
      <c r="D31" s="35"/>
      <c r="E31" s="36"/>
      <c r="F31" s="35"/>
      <c r="G31" s="36"/>
      <c r="H31" s="494"/>
      <c r="I31" s="495"/>
      <c r="J31" s="494"/>
      <c r="K31" s="495"/>
      <c r="L31" s="44"/>
      <c r="M31" s="45"/>
      <c r="N31" s="37"/>
      <c r="O31" s="34"/>
      <c r="P31" s="31"/>
      <c r="Q31" s="94"/>
      <c r="R31" s="476"/>
      <c r="S31" s="476"/>
      <c r="T31" s="94"/>
      <c r="U31" s="94"/>
      <c r="V31" s="482"/>
      <c r="W31" s="482"/>
      <c r="X31" s="94"/>
      <c r="Y31" s="559"/>
      <c r="Z31" s="154"/>
      <c r="AA31" s="18"/>
    </row>
    <row r="32" spans="1:27" ht="17.100000000000001" customHeight="1">
      <c r="A32" s="31"/>
      <c r="B32" s="34"/>
      <c r="C32" s="38"/>
      <c r="D32" s="44"/>
      <c r="E32" s="45"/>
      <c r="F32" s="44"/>
      <c r="G32" s="45"/>
      <c r="H32" s="35"/>
      <c r="I32" s="36"/>
      <c r="J32" s="35"/>
      <c r="K32" s="36"/>
      <c r="L32" s="35"/>
      <c r="M32" s="36"/>
      <c r="N32" s="37"/>
      <c r="O32" s="34"/>
      <c r="P32" s="31"/>
      <c r="Q32" s="15"/>
      <c r="R32" s="15"/>
      <c r="S32" s="15"/>
      <c r="T32" s="94"/>
      <c r="U32" s="94"/>
      <c r="V32" s="483"/>
      <c r="W32" s="483"/>
      <c r="X32" s="94"/>
      <c r="Y32" s="13"/>
      <c r="Z32" s="560"/>
      <c r="AA32" s="560"/>
    </row>
    <row r="33" spans="1:27" ht="17.100000000000001" customHeight="1">
      <c r="A33" s="31"/>
      <c r="B33" s="34"/>
      <c r="C33" s="34"/>
      <c r="D33" s="44"/>
      <c r="E33" s="45"/>
      <c r="F33" s="44"/>
      <c r="G33" s="45"/>
      <c r="H33" s="35"/>
      <c r="I33" s="36"/>
      <c r="J33" s="35"/>
      <c r="K33" s="36"/>
      <c r="L33" s="44"/>
      <c r="M33" s="45"/>
      <c r="N33" s="37"/>
      <c r="O33" s="34"/>
      <c r="P33" s="31"/>
      <c r="Q33" s="94"/>
      <c r="R33" s="489"/>
      <c r="S33" s="489"/>
      <c r="T33" s="94"/>
      <c r="U33" s="94"/>
      <c r="V33" s="483"/>
      <c r="W33" s="483"/>
      <c r="X33" s="94"/>
      <c r="Y33" s="13"/>
      <c r="Z33" s="13"/>
      <c r="AA33" s="13"/>
    </row>
    <row r="34" spans="1:27" ht="17.100000000000001" customHeight="1">
      <c r="A34" s="31"/>
      <c r="B34" s="34"/>
      <c r="C34" s="34"/>
      <c r="D34" s="37"/>
      <c r="E34" s="38"/>
      <c r="F34" s="37"/>
      <c r="G34" s="38"/>
      <c r="H34" s="37"/>
      <c r="I34" s="38"/>
      <c r="J34" s="37"/>
      <c r="K34" s="38"/>
      <c r="L34" s="37"/>
      <c r="M34" s="38"/>
      <c r="N34" s="37"/>
      <c r="O34" s="34"/>
      <c r="P34" s="31"/>
      <c r="Q34" s="94"/>
      <c r="R34" s="483"/>
      <c r="S34" s="483"/>
      <c r="T34" s="94"/>
      <c r="U34" s="94"/>
      <c r="V34" s="483"/>
      <c r="W34" s="483"/>
      <c r="X34" s="94"/>
      <c r="Y34" s="13"/>
      <c r="Z34" s="13"/>
      <c r="AA34" s="13"/>
    </row>
    <row r="35" spans="1:27" ht="17.100000000000001" customHeight="1">
      <c r="A35" s="31"/>
      <c r="B35" s="40"/>
      <c r="C35" s="40"/>
      <c r="D35" s="41"/>
      <c r="E35" s="42"/>
      <c r="F35" s="41"/>
      <c r="G35" s="42"/>
      <c r="H35" s="41"/>
      <c r="I35" s="42"/>
      <c r="J35" s="41"/>
      <c r="K35" s="42"/>
      <c r="L35" s="41"/>
      <c r="M35" s="42"/>
      <c r="N35" s="41"/>
      <c r="O35" s="40"/>
      <c r="P35" s="31"/>
      <c r="Q35" s="94"/>
      <c r="R35" s="483"/>
      <c r="S35" s="483"/>
      <c r="T35" s="94"/>
      <c r="U35" s="94"/>
      <c r="V35" s="484"/>
      <c r="W35" s="484"/>
      <c r="X35" s="94"/>
      <c r="Y35" s="13"/>
      <c r="Z35" s="13"/>
      <c r="AA35" s="13"/>
    </row>
    <row r="36" spans="1:27" ht="17.100000000000001" customHeight="1">
      <c r="A36" s="31"/>
      <c r="B36" s="558"/>
      <c r="C36" s="558"/>
      <c r="D36" s="497"/>
      <c r="E36" s="497"/>
      <c r="F36" s="497"/>
      <c r="G36" s="497"/>
      <c r="H36" s="556"/>
      <c r="I36" s="556"/>
      <c r="J36" s="556"/>
      <c r="K36" s="556"/>
      <c r="L36" s="556"/>
      <c r="M36" s="556"/>
      <c r="N36" s="556"/>
      <c r="O36" s="556"/>
      <c r="P36" s="31"/>
      <c r="Q36" s="94"/>
      <c r="R36" s="483"/>
      <c r="S36" s="483"/>
      <c r="T36" s="94"/>
      <c r="U36" s="94"/>
      <c r="V36" s="483"/>
      <c r="W36" s="483"/>
      <c r="X36" s="94"/>
      <c r="Y36" s="13"/>
      <c r="Z36" s="13"/>
      <c r="AA36" s="13"/>
    </row>
    <row r="37" spans="1:27" ht="17.100000000000001" customHeight="1">
      <c r="A37" s="31"/>
      <c r="B37" s="553"/>
      <c r="C37" s="553"/>
      <c r="D37" s="553"/>
      <c r="E37" s="553"/>
      <c r="F37" s="553"/>
      <c r="G37" s="553"/>
      <c r="H37" s="553"/>
      <c r="I37" s="553"/>
      <c r="J37" s="553"/>
      <c r="K37" s="553"/>
      <c r="L37" s="553"/>
      <c r="M37" s="553"/>
      <c r="N37" s="553"/>
      <c r="O37" s="553"/>
      <c r="P37" s="31"/>
      <c r="Q37" s="94"/>
      <c r="R37" s="484"/>
      <c r="S37" s="484"/>
      <c r="T37" s="94"/>
      <c r="U37" s="94"/>
      <c r="V37" s="555"/>
      <c r="W37" s="476"/>
      <c r="X37" s="94"/>
      <c r="Y37" s="13"/>
      <c r="Z37" s="13"/>
      <c r="AA37" s="13"/>
    </row>
    <row r="38" spans="1:27" ht="17.100000000000001" customHeight="1">
      <c r="A38" s="31"/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31"/>
      <c r="Q38" s="94"/>
      <c r="R38" s="484"/>
      <c r="S38" s="484"/>
      <c r="T38" s="94"/>
      <c r="U38" s="13"/>
      <c r="V38" s="13"/>
      <c r="W38" s="13"/>
      <c r="X38" s="94"/>
      <c r="Y38" s="13"/>
      <c r="Z38" s="13"/>
      <c r="AA38" s="13"/>
    </row>
    <row r="39" spans="1:27" ht="17.100000000000001" customHeight="1">
      <c r="A39" s="31"/>
      <c r="B39" s="553"/>
      <c r="C39" s="553"/>
      <c r="D39" s="554"/>
      <c r="E39" s="553"/>
      <c r="F39" s="554"/>
      <c r="G39" s="553"/>
      <c r="H39" s="554"/>
      <c r="I39" s="553"/>
      <c r="J39" s="554"/>
      <c r="K39" s="553"/>
      <c r="L39" s="554"/>
      <c r="M39" s="553"/>
      <c r="N39" s="554"/>
      <c r="O39" s="553"/>
      <c r="P39" s="31"/>
      <c r="Q39" s="94"/>
      <c r="R39" s="483"/>
      <c r="S39" s="483"/>
      <c r="T39" s="94"/>
      <c r="U39" s="13"/>
      <c r="V39" s="13"/>
      <c r="W39" s="13"/>
      <c r="X39" s="94"/>
      <c r="Y39" s="13"/>
      <c r="Z39" s="13"/>
      <c r="AA39" s="13"/>
    </row>
    <row r="40" spans="1:27" ht="17.100000000000001" customHeight="1">
      <c r="A40" s="3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31"/>
      <c r="Q40" s="93"/>
      <c r="R40" s="476"/>
      <c r="S40" s="476"/>
      <c r="T40" s="94"/>
      <c r="U40" s="94"/>
      <c r="V40" s="94"/>
      <c r="W40" s="94"/>
      <c r="X40" s="94"/>
      <c r="Y40" s="13"/>
      <c r="Z40" s="13"/>
      <c r="AA40" s="13"/>
    </row>
    <row r="41" spans="1:27" ht="17.100000000000001" customHeight="1">
      <c r="A41" s="31"/>
      <c r="B41" s="553"/>
      <c r="C41" s="553"/>
      <c r="D41" s="553"/>
      <c r="E41" s="553"/>
      <c r="F41" s="553"/>
      <c r="G41" s="553"/>
      <c r="H41" s="553"/>
      <c r="I41" s="553"/>
      <c r="J41" s="553"/>
      <c r="K41" s="553"/>
      <c r="L41" s="553"/>
      <c r="M41" s="553"/>
      <c r="N41" s="553"/>
      <c r="O41" s="553"/>
      <c r="P41" s="31"/>
      <c r="Q41" s="13"/>
      <c r="R41" s="13"/>
      <c r="S41" s="13"/>
      <c r="T41" s="94"/>
      <c r="U41" s="94"/>
      <c r="V41" s="94"/>
      <c r="W41" s="94"/>
      <c r="X41" s="94"/>
      <c r="Y41" s="13"/>
      <c r="Z41" s="13"/>
      <c r="AA41" s="13"/>
    </row>
    <row r="42" spans="1:27" ht="17.25">
      <c r="A42" s="31"/>
      <c r="B42" s="553"/>
      <c r="C42" s="553"/>
      <c r="D42" s="553"/>
      <c r="E42" s="553"/>
      <c r="F42" s="553"/>
      <c r="G42" s="553"/>
      <c r="H42" s="553"/>
      <c r="I42" s="553"/>
      <c r="J42" s="553"/>
      <c r="K42" s="553"/>
      <c r="L42" s="553"/>
      <c r="M42" s="553"/>
      <c r="N42" s="553"/>
      <c r="O42" s="553"/>
      <c r="P42" s="31"/>
      <c r="Q42" s="13"/>
      <c r="R42" s="13"/>
      <c r="S42" s="13"/>
      <c r="T42" s="94"/>
      <c r="U42" s="94"/>
      <c r="V42" s="94"/>
      <c r="W42" s="94"/>
      <c r="X42" s="94"/>
      <c r="Y42" s="13"/>
      <c r="Z42" s="13"/>
      <c r="AA42" s="13"/>
    </row>
    <row r="43" spans="1:27" ht="17.25">
      <c r="B43" s="553"/>
      <c r="C43" s="553"/>
      <c r="D43" s="554"/>
      <c r="E43" s="553"/>
      <c r="F43" s="554"/>
      <c r="G43" s="553"/>
      <c r="H43" s="554"/>
      <c r="I43" s="553"/>
      <c r="J43" s="554"/>
      <c r="K43" s="553"/>
      <c r="L43" s="554"/>
      <c r="M43" s="553"/>
      <c r="N43" s="554"/>
      <c r="O43" s="553"/>
      <c r="U43" s="31"/>
      <c r="V43" s="31"/>
      <c r="W43" s="31"/>
    </row>
    <row r="44" spans="1:27">
      <c r="B44" s="8"/>
      <c r="C44" s="8"/>
      <c r="D44" s="23"/>
      <c r="E44" s="23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1:27">
      <c r="B45" s="8"/>
      <c r="C45" s="8"/>
      <c r="D45" s="24"/>
      <c r="E45" s="24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1:27">
      <c r="B46" s="8"/>
      <c r="C46" s="8"/>
      <c r="D46" s="24"/>
      <c r="E46" s="24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27">
      <c r="B47" s="8"/>
      <c r="C47" s="8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</sheetData>
  <mergeCells count="196">
    <mergeCell ref="Y22:Y31"/>
    <mergeCell ref="L19:M19"/>
    <mergeCell ref="L24:M24"/>
    <mergeCell ref="L18:M18"/>
    <mergeCell ref="J13:K13"/>
    <mergeCell ref="Z32:AA32"/>
    <mergeCell ref="Z6:AA6"/>
    <mergeCell ref="Z7:AA7"/>
    <mergeCell ref="Z8:AA8"/>
    <mergeCell ref="Z9:AA9"/>
    <mergeCell ref="Z10:AA10"/>
    <mergeCell ref="Z11:AA11"/>
    <mergeCell ref="Z12:AA12"/>
    <mergeCell ref="Z14:AA14"/>
    <mergeCell ref="Z15:AA15"/>
    <mergeCell ref="Z16:AA16"/>
    <mergeCell ref="Z17:AA17"/>
    <mergeCell ref="Z18:AA18"/>
    <mergeCell ref="Z19:AA19"/>
    <mergeCell ref="Z20:AA20"/>
    <mergeCell ref="R20:S20"/>
    <mergeCell ref="V28:W28"/>
    <mergeCell ref="R22:S22"/>
    <mergeCell ref="V18:W18"/>
    <mergeCell ref="F15:G15"/>
    <mergeCell ref="N6:O6"/>
    <mergeCell ref="H6:I6"/>
    <mergeCell ref="J6:K6"/>
    <mergeCell ref="L6:M6"/>
    <mergeCell ref="L12:M12"/>
    <mergeCell ref="H12:I12"/>
    <mergeCell ref="J12:K12"/>
    <mergeCell ref="H13:I13"/>
    <mergeCell ref="H14:I14"/>
    <mergeCell ref="H7:I7"/>
    <mergeCell ref="H8:I8"/>
    <mergeCell ref="J14:K14"/>
    <mergeCell ref="F25:G25"/>
    <mergeCell ref="J24:K24"/>
    <mergeCell ref="D21:E21"/>
    <mergeCell ref="D25:E25"/>
    <mergeCell ref="J25:K25"/>
    <mergeCell ref="H18:I18"/>
    <mergeCell ref="J18:K18"/>
    <mergeCell ref="H24:I24"/>
    <mergeCell ref="H19:I19"/>
    <mergeCell ref="J19:K19"/>
    <mergeCell ref="H20:I20"/>
    <mergeCell ref="B36:C36"/>
    <mergeCell ref="D36:E36"/>
    <mergeCell ref="F36:G36"/>
    <mergeCell ref="B30:C30"/>
    <mergeCell ref="D30:E30"/>
    <mergeCell ref="F30:G30"/>
    <mergeCell ref="L36:M36"/>
    <mergeCell ref="J36:K36"/>
    <mergeCell ref="B6:C6"/>
    <mergeCell ref="D6:E6"/>
    <mergeCell ref="F6:G6"/>
    <mergeCell ref="F8:G8"/>
    <mergeCell ref="F7:G7"/>
    <mergeCell ref="D13:E13"/>
    <mergeCell ref="F13:G13"/>
    <mergeCell ref="F14:G14"/>
    <mergeCell ref="B24:C24"/>
    <mergeCell ref="D24:E24"/>
    <mergeCell ref="F24:G24"/>
    <mergeCell ref="B12:C12"/>
    <mergeCell ref="D12:E12"/>
    <mergeCell ref="F12:G12"/>
    <mergeCell ref="D14:E14"/>
    <mergeCell ref="B18:C18"/>
    <mergeCell ref="N18:O18"/>
    <mergeCell ref="W17:X17"/>
    <mergeCell ref="R18:S18"/>
    <mergeCell ref="R21:S21"/>
    <mergeCell ref="V19:W19"/>
    <mergeCell ref="R19:S19"/>
    <mergeCell ref="V23:W23"/>
    <mergeCell ref="Q2:S2"/>
    <mergeCell ref="Q3:S4"/>
    <mergeCell ref="B4:O4"/>
    <mergeCell ref="B5:C5"/>
    <mergeCell ref="D5:E5"/>
    <mergeCell ref="F5:G5"/>
    <mergeCell ref="H5:I5"/>
    <mergeCell ref="J5:K5"/>
    <mergeCell ref="L5:M5"/>
    <mergeCell ref="N5:O5"/>
    <mergeCell ref="B2:O3"/>
    <mergeCell ref="D18:E18"/>
    <mergeCell ref="F18:G18"/>
    <mergeCell ref="D19:E19"/>
    <mergeCell ref="F19:G19"/>
    <mergeCell ref="D20:E20"/>
    <mergeCell ref="F20:G20"/>
    <mergeCell ref="V6:V16"/>
    <mergeCell ref="N12:O12"/>
    <mergeCell ref="R6:S6"/>
    <mergeCell ref="R7:S7"/>
    <mergeCell ref="R8:S8"/>
    <mergeCell ref="R9:S9"/>
    <mergeCell ref="R10:S10"/>
    <mergeCell ref="R11:S11"/>
    <mergeCell ref="D26:E26"/>
    <mergeCell ref="N24:O24"/>
    <mergeCell ref="R24:S24"/>
    <mergeCell ref="R25:S25"/>
    <mergeCell ref="V24:W24"/>
    <mergeCell ref="V25:W25"/>
    <mergeCell ref="V26:W26"/>
    <mergeCell ref="R12:S12"/>
    <mergeCell ref="R14:S14"/>
    <mergeCell ref="R15:S15"/>
    <mergeCell ref="R16:S16"/>
    <mergeCell ref="R17:S17"/>
    <mergeCell ref="J7:K7"/>
    <mergeCell ref="J8:K8"/>
    <mergeCell ref="V20:W20"/>
    <mergeCell ref="V21:W21"/>
    <mergeCell ref="D27:E27"/>
    <mergeCell ref="R33:S33"/>
    <mergeCell ref="R35:S35"/>
    <mergeCell ref="R34:S34"/>
    <mergeCell ref="F26:G26"/>
    <mergeCell ref="R28:S28"/>
    <mergeCell ref="R30:S30"/>
    <mergeCell ref="R39:S39"/>
    <mergeCell ref="F27:G27"/>
    <mergeCell ref="J31:K31"/>
    <mergeCell ref="R31:S31"/>
    <mergeCell ref="R29:S29"/>
    <mergeCell ref="H31:I31"/>
    <mergeCell ref="R27:S27"/>
    <mergeCell ref="R37:S37"/>
    <mergeCell ref="N36:O36"/>
    <mergeCell ref="N30:O30"/>
    <mergeCell ref="H30:I30"/>
    <mergeCell ref="H36:I36"/>
    <mergeCell ref="L30:M30"/>
    <mergeCell ref="J30:K30"/>
    <mergeCell ref="R38:S38"/>
    <mergeCell ref="R36:S36"/>
    <mergeCell ref="R26:S26"/>
    <mergeCell ref="V27:W27"/>
    <mergeCell ref="V29:W29"/>
    <mergeCell ref="R40:S40"/>
    <mergeCell ref="L38:M38"/>
    <mergeCell ref="N38:O38"/>
    <mergeCell ref="V31:W31"/>
    <mergeCell ref="V32:W32"/>
    <mergeCell ref="V33:W33"/>
    <mergeCell ref="V34:W34"/>
    <mergeCell ref="V35:W35"/>
    <mergeCell ref="V36:W36"/>
    <mergeCell ref="V37:W37"/>
    <mergeCell ref="B43:C43"/>
    <mergeCell ref="D43:E43"/>
    <mergeCell ref="F43:G43"/>
    <mergeCell ref="H43:I43"/>
    <mergeCell ref="J43:K43"/>
    <mergeCell ref="L43:M43"/>
    <mergeCell ref="N43:O43"/>
    <mergeCell ref="B39:C39"/>
    <mergeCell ref="D39:E39"/>
    <mergeCell ref="F39:G39"/>
    <mergeCell ref="H39:I39"/>
    <mergeCell ref="J39:K39"/>
    <mergeCell ref="L39:M39"/>
    <mergeCell ref="N39:O39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B37:C37"/>
    <mergeCell ref="D37:E37"/>
    <mergeCell ref="F37:G37"/>
    <mergeCell ref="H37:I37"/>
    <mergeCell ref="J37:K37"/>
    <mergeCell ref="L37:M37"/>
    <mergeCell ref="N37:O37"/>
    <mergeCell ref="B38:C38"/>
    <mergeCell ref="D38:E38"/>
    <mergeCell ref="F38:G38"/>
    <mergeCell ref="H38:I38"/>
    <mergeCell ref="J38:K38"/>
  </mergeCells>
  <phoneticPr fontId="1" type="noConversion"/>
  <pageMargins left="0.25" right="0.25" top="0.75" bottom="0.75" header="0.3" footer="0.3"/>
  <pageSetup paperSize="9" scale="4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2"/>
  <sheetViews>
    <sheetView view="pageBreakPreview" zoomScale="70" zoomScaleNormal="85" zoomScaleSheetLayoutView="70" workbookViewId="0">
      <selection activeCell="Q6" sqref="Q6:S17"/>
    </sheetView>
  </sheetViews>
  <sheetFormatPr defaultColWidth="9" defaultRowHeight="16.5"/>
  <cols>
    <col min="1" max="1" width="5.625" style="1" customWidth="1"/>
    <col min="2" max="15" width="9" style="1"/>
    <col min="16" max="16" width="5.625" style="1" customWidth="1"/>
    <col min="17" max="19" width="10.625" style="1" customWidth="1"/>
    <col min="20" max="20" width="5.625" style="1" customWidth="1"/>
    <col min="21" max="23" width="10.625" style="1" customWidth="1"/>
    <col min="24" max="24" width="5.625" style="1" customWidth="1"/>
    <col min="25" max="27" width="10.625" style="1" customWidth="1"/>
    <col min="28" max="28" width="5.625" style="1" customWidth="1"/>
    <col min="29" max="16384" width="9" style="1"/>
  </cols>
  <sheetData>
    <row r="1" spans="2:27" ht="17.25" thickBot="1"/>
    <row r="2" spans="2:27" ht="16.5" customHeight="1">
      <c r="B2" s="504" t="s">
        <v>8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31"/>
      <c r="Q2" s="506" t="s">
        <v>0</v>
      </c>
      <c r="R2" s="507"/>
      <c r="S2" s="508"/>
      <c r="T2" s="31"/>
      <c r="U2" s="31"/>
      <c r="V2" s="31"/>
      <c r="W2" s="31"/>
    </row>
    <row r="3" spans="2:27" ht="16.5" customHeight="1" thickBot="1"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31"/>
      <c r="Q3" s="509">
        <f>Z41</f>
        <v>0</v>
      </c>
      <c r="R3" s="510"/>
      <c r="S3" s="511"/>
      <c r="T3" s="31"/>
      <c r="U3" s="31"/>
      <c r="V3" s="31"/>
      <c r="W3" s="31"/>
    </row>
    <row r="4" spans="2:27" ht="21.75" customHeight="1" thickBot="1">
      <c r="B4" s="515" t="s">
        <v>20</v>
      </c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515"/>
      <c r="P4" s="31"/>
      <c r="Q4" s="512"/>
      <c r="R4" s="513"/>
      <c r="S4" s="514"/>
      <c r="T4" s="31"/>
      <c r="U4" s="31"/>
      <c r="V4" s="31"/>
      <c r="W4" s="31"/>
    </row>
    <row r="5" spans="2:27" ht="30" customHeight="1" thickBot="1">
      <c r="B5" s="516" t="s">
        <v>4</v>
      </c>
      <c r="C5" s="517"/>
      <c r="D5" s="518" t="s">
        <v>1</v>
      </c>
      <c r="E5" s="518"/>
      <c r="F5" s="518" t="s">
        <v>5</v>
      </c>
      <c r="G5" s="518"/>
      <c r="H5" s="518" t="s">
        <v>6</v>
      </c>
      <c r="I5" s="518"/>
      <c r="J5" s="518" t="s">
        <v>2</v>
      </c>
      <c r="K5" s="518"/>
      <c r="L5" s="518" t="s">
        <v>3</v>
      </c>
      <c r="M5" s="518"/>
      <c r="N5" s="519" t="s">
        <v>7</v>
      </c>
      <c r="O5" s="520"/>
      <c r="P5" s="31"/>
      <c r="Q5" s="32"/>
      <c r="R5" s="32"/>
      <c r="S5" s="32"/>
      <c r="T5" s="31"/>
      <c r="U5" s="31"/>
      <c r="V5" s="31"/>
      <c r="W5" s="31"/>
    </row>
    <row r="6" spans="2:27" ht="17.100000000000001" customHeight="1">
      <c r="B6" s="497"/>
      <c r="C6" s="498"/>
      <c r="D6" s="499"/>
      <c r="E6" s="498"/>
      <c r="F6" s="499"/>
      <c r="G6" s="498"/>
      <c r="H6" s="499"/>
      <c r="I6" s="498"/>
      <c r="J6" s="499"/>
      <c r="K6" s="498"/>
      <c r="L6" s="499"/>
      <c r="M6" s="498"/>
      <c r="N6" s="502">
        <f t="shared" ref="N6" si="0">L6+1</f>
        <v>1</v>
      </c>
      <c r="O6" s="503"/>
      <c r="P6" s="31"/>
      <c r="Q6" s="485" t="s">
        <v>9</v>
      </c>
      <c r="R6" s="123"/>
      <c r="S6" s="52"/>
      <c r="T6" s="94"/>
      <c r="U6" s="94"/>
      <c r="V6" s="482"/>
      <c r="W6" s="482"/>
      <c r="X6" s="13"/>
      <c r="Y6" s="94"/>
      <c r="Z6" s="483"/>
      <c r="AA6" s="483"/>
    </row>
    <row r="7" spans="2:27" ht="17.100000000000001" customHeight="1">
      <c r="B7" s="34"/>
      <c r="C7" s="34"/>
      <c r="D7" s="37"/>
      <c r="E7" s="38"/>
      <c r="F7" s="35"/>
      <c r="G7" s="36"/>
      <c r="H7" s="35"/>
      <c r="I7" s="36"/>
      <c r="J7" s="35"/>
      <c r="K7" s="36"/>
      <c r="L7" s="35"/>
      <c r="M7" s="36"/>
      <c r="N7" s="37"/>
      <c r="O7" s="34"/>
      <c r="P7" s="31"/>
      <c r="Q7" s="486"/>
      <c r="R7" s="124"/>
      <c r="S7" s="53"/>
      <c r="T7" s="94"/>
      <c r="U7" s="94"/>
      <c r="V7" s="483"/>
      <c r="W7" s="483"/>
      <c r="X7" s="13"/>
      <c r="Y7" s="94"/>
      <c r="Z7" s="483"/>
      <c r="AA7" s="483"/>
    </row>
    <row r="8" spans="2:27" ht="17.100000000000001" customHeight="1">
      <c r="B8" s="34"/>
      <c r="C8" s="34"/>
      <c r="D8" s="37"/>
      <c r="E8" s="38"/>
      <c r="F8" s="35"/>
      <c r="G8" s="36"/>
      <c r="H8" s="35"/>
      <c r="I8" s="36"/>
      <c r="J8" s="35"/>
      <c r="K8" s="36"/>
      <c r="L8" s="39"/>
      <c r="M8" s="38"/>
      <c r="N8" s="37"/>
      <c r="O8" s="34"/>
      <c r="P8" s="31"/>
      <c r="Q8" s="486"/>
      <c r="R8" s="144"/>
      <c r="S8" s="53"/>
      <c r="T8" s="94"/>
      <c r="U8" s="94"/>
      <c r="V8" s="483"/>
      <c r="W8" s="483"/>
      <c r="X8" s="13"/>
      <c r="Y8" s="94"/>
      <c r="Z8" s="483"/>
      <c r="AA8" s="483"/>
    </row>
    <row r="9" spans="2:27" ht="17.100000000000001" customHeight="1">
      <c r="B9" s="34"/>
      <c r="C9" s="34"/>
      <c r="D9" s="37"/>
      <c r="E9" s="38"/>
      <c r="F9" s="35"/>
      <c r="G9" s="36"/>
      <c r="H9" s="35"/>
      <c r="I9" s="36"/>
      <c r="J9" s="35"/>
      <c r="K9" s="36"/>
      <c r="L9" s="56"/>
      <c r="M9" s="57"/>
      <c r="N9" s="37"/>
      <c r="O9" s="34"/>
      <c r="P9" s="31"/>
      <c r="Q9" s="486"/>
      <c r="R9" s="145"/>
      <c r="S9" s="54"/>
      <c r="T9" s="94"/>
      <c r="U9" s="94"/>
      <c r="V9" s="483"/>
      <c r="W9" s="483"/>
      <c r="X9" s="13"/>
      <c r="Y9" s="94"/>
      <c r="Z9" s="483"/>
      <c r="AA9" s="483"/>
    </row>
    <row r="10" spans="2:27" ht="17.100000000000001" customHeight="1">
      <c r="B10" s="34"/>
      <c r="C10" s="34"/>
      <c r="D10" s="37"/>
      <c r="E10" s="38"/>
      <c r="F10" s="494"/>
      <c r="G10" s="495"/>
      <c r="H10" s="494"/>
      <c r="I10" s="495"/>
      <c r="J10" s="48"/>
      <c r="K10" s="49"/>
      <c r="L10" s="37"/>
      <c r="M10" s="38"/>
      <c r="N10" s="37"/>
      <c r="O10" s="34"/>
      <c r="P10" s="31"/>
      <c r="Q10" s="486"/>
      <c r="R10" s="145"/>
      <c r="S10" s="54"/>
      <c r="T10" s="94"/>
      <c r="U10" s="94"/>
      <c r="V10" s="484"/>
      <c r="W10" s="484"/>
      <c r="X10" s="13"/>
      <c r="Y10" s="94"/>
      <c r="Z10" s="484"/>
      <c r="AA10" s="484"/>
    </row>
    <row r="11" spans="2:27" ht="17.100000000000001" customHeight="1">
      <c r="B11" s="40"/>
      <c r="C11" s="40"/>
      <c r="D11" s="41"/>
      <c r="E11" s="42"/>
      <c r="F11" s="41"/>
      <c r="G11" s="42"/>
      <c r="H11" s="41"/>
      <c r="I11" s="42"/>
      <c r="J11" s="41"/>
      <c r="K11" s="42"/>
      <c r="L11" s="41"/>
      <c r="M11" s="42"/>
      <c r="N11" s="41"/>
      <c r="O11" s="40"/>
      <c r="P11" s="31"/>
      <c r="Q11" s="486"/>
      <c r="R11" s="145"/>
      <c r="S11" s="54"/>
      <c r="T11" s="94"/>
      <c r="U11" s="94"/>
      <c r="V11" s="484"/>
      <c r="W11" s="484"/>
      <c r="X11" s="13"/>
      <c r="Y11" s="94"/>
      <c r="Z11" s="483"/>
      <c r="AA11" s="483"/>
    </row>
    <row r="12" spans="2:27" ht="17.100000000000001" customHeight="1">
      <c r="B12" s="521">
        <f>N6+1</f>
        <v>2</v>
      </c>
      <c r="C12" s="522"/>
      <c r="D12" s="500">
        <f>B12+1</f>
        <v>3</v>
      </c>
      <c r="E12" s="501"/>
      <c r="F12" s="500">
        <f>D12+1</f>
        <v>4</v>
      </c>
      <c r="G12" s="501"/>
      <c r="H12" s="500">
        <f t="shared" ref="H12" si="1">F12+1</f>
        <v>5</v>
      </c>
      <c r="I12" s="501"/>
      <c r="J12" s="500">
        <f t="shared" ref="J12" si="2">H12+1</f>
        <v>6</v>
      </c>
      <c r="K12" s="501"/>
      <c r="L12" s="500">
        <f t="shared" ref="L12" si="3">J12+1</f>
        <v>7</v>
      </c>
      <c r="M12" s="501"/>
      <c r="N12" s="502">
        <f t="shared" ref="N12" si="4">L12+1</f>
        <v>8</v>
      </c>
      <c r="O12" s="503"/>
      <c r="P12" s="31"/>
      <c r="Q12" s="486"/>
      <c r="R12" s="147"/>
      <c r="S12" s="54"/>
      <c r="T12" s="94"/>
      <c r="U12" s="94"/>
      <c r="V12" s="483"/>
      <c r="W12" s="483"/>
      <c r="X12" s="13"/>
      <c r="Y12" s="94"/>
      <c r="Z12" s="555"/>
      <c r="AA12" s="476"/>
    </row>
    <row r="13" spans="2:27" ht="17.100000000000001" customHeight="1">
      <c r="B13" s="34"/>
      <c r="C13" s="34"/>
      <c r="D13" s="35"/>
      <c r="E13" s="36"/>
      <c r="F13" s="35"/>
      <c r="G13" s="36"/>
      <c r="H13" s="35"/>
      <c r="I13" s="36"/>
      <c r="J13" s="35"/>
      <c r="K13" s="36"/>
      <c r="L13" s="494"/>
      <c r="M13" s="495"/>
      <c r="N13" s="37"/>
      <c r="O13" s="34"/>
      <c r="P13" s="31"/>
      <c r="Q13" s="486"/>
      <c r="R13" s="144"/>
      <c r="S13" s="53"/>
      <c r="T13" s="94"/>
      <c r="U13" s="94"/>
      <c r="V13" s="555"/>
      <c r="W13" s="476"/>
      <c r="X13" s="13"/>
      <c r="Y13" s="13"/>
      <c r="Z13" s="13"/>
      <c r="AA13" s="13"/>
    </row>
    <row r="14" spans="2:27" ht="17.100000000000001" customHeight="1">
      <c r="B14" s="34"/>
      <c r="C14" s="34"/>
      <c r="D14" s="35"/>
      <c r="E14" s="36"/>
      <c r="F14" s="48"/>
      <c r="G14" s="49"/>
      <c r="H14" s="48"/>
      <c r="I14" s="49"/>
      <c r="J14" s="48"/>
      <c r="K14" s="49"/>
      <c r="L14" s="494"/>
      <c r="M14" s="495"/>
      <c r="N14" s="37"/>
      <c r="O14" s="34"/>
      <c r="P14" s="31"/>
      <c r="Q14" s="486"/>
      <c r="R14" s="144"/>
      <c r="S14" s="53"/>
      <c r="T14" s="94"/>
      <c r="U14" s="94"/>
      <c r="V14" s="12"/>
      <c r="W14" s="12"/>
      <c r="X14" s="13"/>
      <c r="Y14" s="3"/>
      <c r="Z14" s="565"/>
      <c r="AA14" s="565"/>
    </row>
    <row r="15" spans="2:27" ht="17.100000000000001" customHeight="1">
      <c r="B15" s="34"/>
      <c r="C15" s="34"/>
      <c r="D15" s="37"/>
      <c r="E15" s="38"/>
      <c r="F15" s="37"/>
      <c r="G15" s="38"/>
      <c r="H15" s="37"/>
      <c r="I15" s="38"/>
      <c r="J15" s="37"/>
      <c r="K15" s="38"/>
      <c r="L15" s="37"/>
      <c r="M15" s="38"/>
      <c r="N15" s="37"/>
      <c r="O15" s="34"/>
      <c r="P15" s="31"/>
      <c r="Q15" s="486"/>
      <c r="R15" s="144"/>
      <c r="S15" s="53"/>
      <c r="T15" s="94"/>
      <c r="U15" s="94"/>
      <c r="V15" s="489"/>
      <c r="W15" s="489"/>
      <c r="X15" s="13"/>
      <c r="Y15" s="94"/>
      <c r="Z15" s="483"/>
      <c r="AA15" s="483"/>
    </row>
    <row r="16" spans="2:27" ht="17.100000000000001" customHeight="1" thickBot="1">
      <c r="B16" s="34"/>
      <c r="C16" s="34"/>
      <c r="D16" s="37"/>
      <c r="E16" s="38"/>
      <c r="F16" s="37"/>
      <c r="G16" s="38"/>
      <c r="H16" s="37"/>
      <c r="I16" s="38"/>
      <c r="J16" s="37"/>
      <c r="K16" s="38"/>
      <c r="L16" s="37"/>
      <c r="M16" s="38"/>
      <c r="N16" s="37"/>
      <c r="O16" s="34"/>
      <c r="P16" s="31"/>
      <c r="Q16" s="530"/>
      <c r="R16" s="148"/>
      <c r="S16" s="149"/>
      <c r="T16" s="94"/>
      <c r="U16" s="94"/>
      <c r="V16" s="483"/>
      <c r="W16" s="483"/>
      <c r="X16" s="13"/>
      <c r="Y16" s="3"/>
      <c r="Z16" s="563"/>
      <c r="AA16" s="563"/>
    </row>
    <row r="17" spans="1:27" ht="17.100000000000001" customHeight="1" thickBot="1">
      <c r="B17" s="40"/>
      <c r="C17" s="40"/>
      <c r="D17" s="41"/>
      <c r="E17" s="42"/>
      <c r="F17" s="41"/>
      <c r="G17" s="42"/>
      <c r="H17" s="41"/>
      <c r="I17" s="42"/>
      <c r="J17" s="41"/>
      <c r="K17" s="42"/>
      <c r="L17" s="41"/>
      <c r="M17" s="42"/>
      <c r="N17" s="41"/>
      <c r="O17" s="40"/>
      <c r="P17" s="31"/>
      <c r="Q17" s="55" t="s">
        <v>10</v>
      </c>
      <c r="R17" s="534">
        <f>SUM(S6:S16)*88000</f>
        <v>0</v>
      </c>
      <c r="S17" s="535"/>
      <c r="T17" s="94"/>
      <c r="U17" s="94"/>
      <c r="V17" s="483"/>
      <c r="W17" s="483"/>
      <c r="X17" s="13"/>
      <c r="Y17" s="3"/>
      <c r="Z17" s="563"/>
      <c r="AA17" s="563"/>
    </row>
    <row r="18" spans="1:27" ht="17.100000000000001" customHeight="1">
      <c r="B18" s="521">
        <f>N12+1</f>
        <v>9</v>
      </c>
      <c r="C18" s="522"/>
      <c r="D18" s="500">
        <f>B18+1</f>
        <v>10</v>
      </c>
      <c r="E18" s="501"/>
      <c r="F18" s="500">
        <f>D18+1</f>
        <v>11</v>
      </c>
      <c r="G18" s="501"/>
      <c r="H18" s="500">
        <f t="shared" ref="H18" si="5">F18+1</f>
        <v>12</v>
      </c>
      <c r="I18" s="501"/>
      <c r="J18" s="500">
        <f t="shared" ref="J18" si="6">H18+1</f>
        <v>13</v>
      </c>
      <c r="K18" s="501"/>
      <c r="L18" s="523">
        <f t="shared" ref="L18" si="7">J18+1</f>
        <v>14</v>
      </c>
      <c r="M18" s="524"/>
      <c r="N18" s="525">
        <f t="shared" ref="N18" si="8">L18+1</f>
        <v>15</v>
      </c>
      <c r="O18" s="521"/>
      <c r="P18" s="31"/>
      <c r="Q18" s="94"/>
      <c r="R18" s="483"/>
      <c r="S18" s="483"/>
      <c r="T18" s="94"/>
      <c r="U18" s="94"/>
      <c r="V18" s="483"/>
      <c r="W18" s="483"/>
      <c r="X18" s="13"/>
      <c r="Y18" s="3"/>
      <c r="Z18" s="564"/>
      <c r="AA18" s="564"/>
    </row>
    <row r="19" spans="1:27" ht="17.100000000000001" customHeight="1">
      <c r="B19" s="34"/>
      <c r="C19" s="38"/>
      <c r="D19" s="494"/>
      <c r="E19" s="495"/>
      <c r="F19" s="494"/>
      <c r="G19" s="495"/>
      <c r="H19" s="494"/>
      <c r="I19" s="495"/>
      <c r="J19" s="494"/>
      <c r="K19" s="495"/>
      <c r="L19" s="494"/>
      <c r="M19" s="495"/>
      <c r="N19" s="494"/>
      <c r="O19" s="496"/>
      <c r="P19" s="31"/>
      <c r="Q19" s="94"/>
      <c r="R19" s="483"/>
      <c r="S19" s="483"/>
      <c r="T19" s="94"/>
      <c r="U19" s="94"/>
      <c r="V19" s="484"/>
      <c r="W19" s="484"/>
      <c r="X19" s="13"/>
      <c r="Y19" s="3"/>
      <c r="Z19" s="563"/>
      <c r="AA19" s="563"/>
    </row>
    <row r="20" spans="1:27" ht="17.100000000000001" customHeight="1">
      <c r="B20" s="34"/>
      <c r="C20" s="34"/>
      <c r="D20" s="494"/>
      <c r="E20" s="495"/>
      <c r="F20" s="494"/>
      <c r="G20" s="495"/>
      <c r="H20" s="494"/>
      <c r="I20" s="495"/>
      <c r="J20" s="95"/>
      <c r="K20" s="96"/>
      <c r="L20" s="95"/>
      <c r="M20" s="96"/>
      <c r="N20" s="95"/>
      <c r="O20" s="150"/>
      <c r="P20" s="31"/>
      <c r="Q20" s="94"/>
      <c r="R20" s="484"/>
      <c r="S20" s="484"/>
      <c r="T20" s="94"/>
      <c r="U20" s="94"/>
      <c r="V20" s="484"/>
      <c r="W20" s="484"/>
      <c r="X20" s="13"/>
      <c r="Y20" s="13"/>
      <c r="Z20" s="13"/>
      <c r="AA20" s="13"/>
    </row>
    <row r="21" spans="1:27" ht="17.100000000000001" customHeight="1">
      <c r="B21" s="34"/>
      <c r="C21" s="34"/>
      <c r="D21" s="494"/>
      <c r="E21" s="495"/>
      <c r="F21" s="494"/>
      <c r="G21" s="495"/>
      <c r="H21" s="494"/>
      <c r="I21" s="495"/>
      <c r="J21" s="95"/>
      <c r="K21" s="96"/>
      <c r="L21" s="95"/>
      <c r="M21" s="96"/>
      <c r="N21" s="95"/>
      <c r="O21" s="150"/>
      <c r="P21" s="31"/>
      <c r="Q21" s="94"/>
      <c r="R21" s="484"/>
      <c r="S21" s="484"/>
      <c r="T21" s="94"/>
      <c r="U21" s="94"/>
      <c r="V21" s="483"/>
      <c r="W21" s="483"/>
      <c r="X21" s="13"/>
      <c r="Y21" s="3"/>
      <c r="Z21" s="489"/>
      <c r="AA21" s="489"/>
    </row>
    <row r="22" spans="1:27" ht="17.100000000000001" customHeight="1">
      <c r="B22" s="34"/>
      <c r="C22" s="34"/>
      <c r="D22" s="494"/>
      <c r="E22" s="495"/>
      <c r="F22" s="494"/>
      <c r="G22" s="495"/>
      <c r="H22" s="494"/>
      <c r="I22" s="495"/>
      <c r="J22" s="95"/>
      <c r="K22" s="96"/>
      <c r="L22" s="95"/>
      <c r="M22" s="96"/>
      <c r="N22" s="95"/>
      <c r="O22" s="150"/>
      <c r="P22" s="31"/>
      <c r="Q22" s="94"/>
      <c r="R22" s="483"/>
      <c r="S22" s="483"/>
      <c r="T22" s="94"/>
      <c r="U22" s="94"/>
      <c r="V22" s="555"/>
      <c r="W22" s="476"/>
      <c r="X22" s="13"/>
      <c r="Y22" s="94"/>
      <c r="Z22" s="483"/>
      <c r="AA22" s="483"/>
    </row>
    <row r="23" spans="1:27" ht="17.100000000000001" customHeight="1">
      <c r="B23" s="34"/>
      <c r="C23" s="34"/>
      <c r="D23" s="494"/>
      <c r="E23" s="495"/>
      <c r="F23" s="494"/>
      <c r="G23" s="495"/>
      <c r="H23" s="494"/>
      <c r="I23" s="495"/>
      <c r="J23" s="95"/>
      <c r="K23" s="96"/>
      <c r="L23" s="95"/>
      <c r="M23" s="96"/>
      <c r="N23" s="95"/>
      <c r="O23" s="150"/>
      <c r="P23" s="31"/>
      <c r="Q23" s="94"/>
      <c r="R23" s="555"/>
      <c r="S23" s="476"/>
      <c r="T23" s="94"/>
      <c r="U23" s="94"/>
      <c r="V23" s="12"/>
      <c r="W23" s="12"/>
      <c r="X23" s="13"/>
      <c r="Y23" s="3"/>
      <c r="Z23" s="563"/>
      <c r="AA23" s="563"/>
    </row>
    <row r="24" spans="1:27" ht="17.100000000000001" customHeight="1">
      <c r="B24" s="34"/>
      <c r="C24" s="38"/>
      <c r="D24" s="150"/>
      <c r="E24" s="96"/>
      <c r="F24" s="150"/>
      <c r="G24" s="96"/>
      <c r="H24" s="494"/>
      <c r="I24" s="495"/>
      <c r="J24" s="95"/>
      <c r="K24" s="96"/>
      <c r="L24" s="95"/>
      <c r="M24" s="96"/>
      <c r="N24" s="95"/>
      <c r="O24" s="150"/>
      <c r="P24" s="31"/>
      <c r="Q24" s="15"/>
      <c r="R24" s="50"/>
      <c r="S24" s="50"/>
      <c r="T24" s="94"/>
      <c r="U24" s="94"/>
      <c r="V24" s="483"/>
      <c r="W24" s="483"/>
      <c r="X24" s="13"/>
      <c r="Y24" s="3"/>
      <c r="Z24" s="563"/>
      <c r="AA24" s="563"/>
    </row>
    <row r="25" spans="1:27" ht="17.100000000000001" customHeight="1">
      <c r="B25" s="34"/>
      <c r="C25" s="38"/>
      <c r="D25" s="150"/>
      <c r="E25" s="96"/>
      <c r="F25" s="150"/>
      <c r="G25" s="96"/>
      <c r="H25" s="494"/>
      <c r="I25" s="495"/>
      <c r="J25" s="95"/>
      <c r="K25" s="96"/>
      <c r="L25" s="95"/>
      <c r="M25" s="96"/>
      <c r="N25" s="95"/>
      <c r="O25" s="150"/>
      <c r="P25" s="31"/>
      <c r="Q25" s="94"/>
      <c r="R25" s="482"/>
      <c r="S25" s="482"/>
      <c r="T25" s="94"/>
      <c r="U25" s="94"/>
      <c r="V25" s="483"/>
      <c r="W25" s="483"/>
      <c r="X25" s="13"/>
      <c r="Y25" s="3"/>
      <c r="Z25" s="564"/>
      <c r="AA25" s="564"/>
    </row>
    <row r="26" spans="1:27" ht="17.100000000000001" customHeight="1">
      <c r="B26" s="34"/>
      <c r="C26" s="42"/>
      <c r="D26" s="150"/>
      <c r="E26" s="96"/>
      <c r="F26" s="150"/>
      <c r="G26" s="98"/>
      <c r="H26" s="494"/>
      <c r="I26" s="495"/>
      <c r="J26" s="95"/>
      <c r="K26" s="96"/>
      <c r="L26" s="95"/>
      <c r="M26" s="96"/>
      <c r="N26" s="95"/>
      <c r="O26" s="150"/>
      <c r="P26" s="31"/>
      <c r="Q26" s="94"/>
      <c r="R26" s="483"/>
      <c r="S26" s="483"/>
      <c r="T26" s="94"/>
      <c r="U26" s="94"/>
      <c r="V26" s="483"/>
      <c r="W26" s="483"/>
      <c r="X26" s="13"/>
      <c r="Y26" s="3"/>
      <c r="Z26" s="563"/>
      <c r="AA26" s="563"/>
    </row>
    <row r="27" spans="1:27" ht="17.100000000000001" customHeight="1">
      <c r="B27" s="521">
        <f>N18+1</f>
        <v>16</v>
      </c>
      <c r="C27" s="522"/>
      <c r="D27" s="525">
        <f>B27+1</f>
        <v>17</v>
      </c>
      <c r="E27" s="522"/>
      <c r="F27" s="562">
        <f>D27+1</f>
        <v>18</v>
      </c>
      <c r="G27" s="501"/>
      <c r="H27" s="500">
        <f t="shared" ref="H27" si="9">F27+1</f>
        <v>19</v>
      </c>
      <c r="I27" s="501"/>
      <c r="J27" s="500">
        <f t="shared" ref="J27" si="10">H27+1</f>
        <v>20</v>
      </c>
      <c r="K27" s="501"/>
      <c r="L27" s="500">
        <f t="shared" ref="L27" si="11">J27+1</f>
        <v>21</v>
      </c>
      <c r="M27" s="501"/>
      <c r="N27" s="502">
        <f t="shared" ref="N27" si="12">L27+1</f>
        <v>22</v>
      </c>
      <c r="O27" s="503"/>
      <c r="P27" s="31"/>
      <c r="Q27" s="94"/>
      <c r="R27" s="483"/>
      <c r="S27" s="483"/>
      <c r="T27" s="94"/>
      <c r="U27" s="94"/>
      <c r="V27" s="483"/>
      <c r="W27" s="483"/>
      <c r="X27" s="13"/>
      <c r="Y27" s="94"/>
      <c r="Z27" s="555"/>
      <c r="AA27" s="476"/>
    </row>
    <row r="28" spans="1:27" ht="17.100000000000001" customHeight="1">
      <c r="A28" s="21"/>
      <c r="B28" s="496"/>
      <c r="C28" s="495"/>
      <c r="D28" s="494"/>
      <c r="E28" s="495"/>
      <c r="F28" s="494"/>
      <c r="G28" s="495"/>
      <c r="H28" s="494"/>
      <c r="I28" s="495"/>
      <c r="J28" s="494"/>
      <c r="K28" s="495"/>
      <c r="L28" s="494"/>
      <c r="M28" s="495"/>
      <c r="N28" s="494"/>
      <c r="O28" s="496"/>
      <c r="P28" s="31"/>
      <c r="Q28" s="94"/>
      <c r="R28" s="483"/>
      <c r="S28" s="483"/>
      <c r="T28" s="94"/>
      <c r="U28" s="94"/>
      <c r="V28" s="484"/>
      <c r="W28" s="484"/>
      <c r="X28" s="13"/>
      <c r="Y28" s="13"/>
      <c r="Z28" s="13"/>
      <c r="AA28" s="13"/>
    </row>
    <row r="29" spans="1:27" ht="17.100000000000001" customHeight="1">
      <c r="A29" s="21"/>
      <c r="B29" s="150"/>
      <c r="C29" s="150"/>
      <c r="D29" s="494"/>
      <c r="E29" s="495"/>
      <c r="F29" s="494"/>
      <c r="G29" s="495"/>
      <c r="H29" s="494"/>
      <c r="I29" s="495"/>
      <c r="J29" s="494"/>
      <c r="K29" s="495"/>
      <c r="L29" s="48"/>
      <c r="M29" s="49"/>
      <c r="N29" s="37"/>
      <c r="O29" s="34"/>
      <c r="P29" s="31"/>
      <c r="Q29" s="94"/>
      <c r="R29" s="484"/>
      <c r="S29" s="484"/>
      <c r="T29" s="94"/>
      <c r="U29" s="94"/>
      <c r="V29" s="484"/>
      <c r="W29" s="484"/>
      <c r="X29" s="13"/>
      <c r="Y29" s="483"/>
      <c r="Z29" s="155"/>
      <c r="AA29" s="156"/>
    </row>
    <row r="30" spans="1:27" ht="17.100000000000001" customHeight="1">
      <c r="B30" s="150"/>
      <c r="C30" s="150"/>
      <c r="D30" s="494"/>
      <c r="E30" s="495"/>
      <c r="F30" s="494"/>
      <c r="G30" s="495"/>
      <c r="H30" s="494"/>
      <c r="I30" s="495"/>
      <c r="J30" s="494"/>
      <c r="K30" s="495"/>
      <c r="L30" s="48"/>
      <c r="M30" s="49"/>
      <c r="N30" s="37"/>
      <c r="O30" s="34"/>
      <c r="P30" s="31"/>
      <c r="Q30" s="94"/>
      <c r="R30" s="484"/>
      <c r="S30" s="484"/>
      <c r="T30" s="94"/>
      <c r="U30" s="94"/>
      <c r="V30" s="483"/>
      <c r="W30" s="483"/>
      <c r="X30" s="13"/>
      <c r="Y30" s="483"/>
      <c r="Z30" s="157"/>
      <c r="AA30" s="156"/>
    </row>
    <row r="31" spans="1:27" ht="16.5" customHeight="1">
      <c r="B31" s="150"/>
      <c r="C31" s="150"/>
      <c r="D31" s="494"/>
      <c r="E31" s="495"/>
      <c r="F31" s="494"/>
      <c r="G31" s="495"/>
      <c r="H31" s="494"/>
      <c r="I31" s="495"/>
      <c r="J31" s="494"/>
      <c r="K31" s="495"/>
      <c r="L31" s="48"/>
      <c r="M31" s="49"/>
      <c r="N31" s="37"/>
      <c r="O31" s="34"/>
      <c r="P31" s="31"/>
      <c r="Q31" s="94"/>
      <c r="R31" s="484"/>
      <c r="S31" s="484"/>
      <c r="T31" s="94"/>
      <c r="U31" s="94"/>
      <c r="V31" s="555"/>
      <c r="W31" s="476"/>
      <c r="X31" s="13"/>
      <c r="Y31" s="483"/>
      <c r="Z31" s="19"/>
      <c r="AA31" s="156"/>
    </row>
    <row r="32" spans="1:27" ht="17.100000000000001" customHeight="1">
      <c r="B32" s="61"/>
      <c r="C32" s="61"/>
      <c r="D32" s="528"/>
      <c r="E32" s="529"/>
      <c r="F32" s="494"/>
      <c r="G32" s="495"/>
      <c r="H32" s="97"/>
      <c r="I32" s="98"/>
      <c r="J32" s="528"/>
      <c r="K32" s="529"/>
      <c r="L32" s="58"/>
      <c r="M32" s="59"/>
      <c r="N32" s="41"/>
      <c r="O32" s="40"/>
      <c r="P32" s="31"/>
      <c r="Q32" s="94"/>
      <c r="R32" s="483"/>
      <c r="S32" s="483"/>
      <c r="T32" s="94"/>
      <c r="U32" s="94"/>
      <c r="V32" s="15"/>
      <c r="W32" s="15"/>
      <c r="X32" s="13"/>
      <c r="Y32" s="483"/>
      <c r="Z32" s="157"/>
      <c r="AA32" s="156"/>
    </row>
    <row r="33" spans="1:35" ht="17.100000000000001" customHeight="1">
      <c r="B33" s="521">
        <f>N27+1</f>
        <v>23</v>
      </c>
      <c r="C33" s="522"/>
      <c r="D33" s="500">
        <f>B33+1</f>
        <v>24</v>
      </c>
      <c r="E33" s="501"/>
      <c r="F33" s="500">
        <f>D33+1</f>
        <v>25</v>
      </c>
      <c r="G33" s="501"/>
      <c r="H33" s="500">
        <f>F33+1</f>
        <v>26</v>
      </c>
      <c r="I33" s="501"/>
      <c r="J33" s="500">
        <f>H33+1</f>
        <v>27</v>
      </c>
      <c r="K33" s="501"/>
      <c r="L33" s="500">
        <f>J33+1</f>
        <v>28</v>
      </c>
      <c r="M33" s="501"/>
      <c r="N33" s="502">
        <f t="shared" ref="N33" si="13">L33+1</f>
        <v>29</v>
      </c>
      <c r="O33" s="503"/>
      <c r="P33" s="31"/>
      <c r="Q33" s="94"/>
      <c r="R33" s="555"/>
      <c r="S33" s="476"/>
      <c r="T33" s="94"/>
      <c r="U33" s="94"/>
      <c r="V33" s="483"/>
      <c r="W33" s="483"/>
      <c r="X33" s="13"/>
      <c r="Y33" s="483"/>
      <c r="Z33" s="19"/>
      <c r="AA33" s="156"/>
    </row>
    <row r="34" spans="1:35" ht="17.100000000000001" customHeight="1">
      <c r="A34" s="21"/>
      <c r="B34" s="496"/>
      <c r="C34" s="495"/>
      <c r="D34" s="494"/>
      <c r="E34" s="495"/>
      <c r="F34" s="494"/>
      <c r="G34" s="495"/>
      <c r="H34" s="494"/>
      <c r="I34" s="495"/>
      <c r="J34" s="494"/>
      <c r="K34" s="495"/>
      <c r="L34" s="35"/>
      <c r="M34" s="36"/>
      <c r="N34" s="48"/>
      <c r="O34" s="60"/>
      <c r="P34" s="31"/>
      <c r="Q34" s="15"/>
      <c r="R34" s="50"/>
      <c r="S34" s="50"/>
      <c r="T34" s="94"/>
      <c r="U34" s="94"/>
      <c r="V34" s="483"/>
      <c r="W34" s="483"/>
      <c r="X34" s="13"/>
      <c r="Y34" s="483"/>
      <c r="Z34" s="19"/>
      <c r="AA34" s="156"/>
    </row>
    <row r="35" spans="1:35" ht="17.100000000000001" customHeight="1">
      <c r="A35" s="21"/>
      <c r="B35" s="496"/>
      <c r="C35" s="495"/>
      <c r="D35" s="494"/>
      <c r="E35" s="495"/>
      <c r="F35" s="494"/>
      <c r="G35" s="495"/>
      <c r="H35" s="494"/>
      <c r="I35" s="495"/>
      <c r="J35" s="494"/>
      <c r="K35" s="495"/>
      <c r="L35" s="95"/>
      <c r="M35" s="49"/>
      <c r="N35" s="48"/>
      <c r="O35" s="60"/>
      <c r="P35" s="31"/>
      <c r="Q35" s="94"/>
      <c r="R35" s="482"/>
      <c r="S35" s="482"/>
      <c r="T35" s="94"/>
      <c r="U35" s="94"/>
      <c r="V35" s="483"/>
      <c r="W35" s="483"/>
      <c r="X35" s="13"/>
      <c r="Y35" s="483"/>
      <c r="Z35" s="19"/>
      <c r="AA35" s="156"/>
    </row>
    <row r="36" spans="1:35" ht="17.100000000000001" customHeight="1">
      <c r="B36" s="150"/>
      <c r="C36" s="150"/>
      <c r="D36" s="494"/>
      <c r="E36" s="495"/>
      <c r="F36" s="494"/>
      <c r="G36" s="495"/>
      <c r="H36" s="494"/>
      <c r="I36" s="495"/>
      <c r="J36" s="35"/>
      <c r="K36" s="36"/>
      <c r="L36" s="95"/>
      <c r="M36" s="49"/>
      <c r="N36" s="48"/>
      <c r="O36" s="60"/>
      <c r="P36" s="31"/>
      <c r="Q36" s="94"/>
      <c r="R36" s="483"/>
      <c r="S36" s="483"/>
      <c r="T36" s="94"/>
      <c r="U36" s="94"/>
      <c r="V36" s="483"/>
      <c r="W36" s="483"/>
      <c r="X36" s="13"/>
      <c r="Y36" s="483"/>
      <c r="Z36" s="19"/>
      <c r="AA36" s="156"/>
    </row>
    <row r="37" spans="1:35" ht="17.100000000000001" customHeight="1">
      <c r="B37" s="150"/>
      <c r="C37" s="150"/>
      <c r="D37" s="494"/>
      <c r="E37" s="495"/>
      <c r="F37" s="35"/>
      <c r="G37" s="36"/>
      <c r="H37" s="35"/>
      <c r="I37" s="36"/>
      <c r="J37" s="35"/>
      <c r="K37" s="36"/>
      <c r="L37" s="95"/>
      <c r="M37" s="49"/>
      <c r="N37" s="48"/>
      <c r="O37" s="60"/>
      <c r="P37" s="31"/>
      <c r="Q37" s="94"/>
      <c r="R37" s="483"/>
      <c r="S37" s="483"/>
      <c r="T37" s="94"/>
      <c r="U37" s="94"/>
      <c r="V37" s="484"/>
      <c r="W37" s="484"/>
      <c r="X37" s="13"/>
      <c r="Y37" s="483"/>
      <c r="Z37" s="19"/>
      <c r="AA37" s="156"/>
      <c r="AE37" s="30"/>
      <c r="AF37" s="30"/>
      <c r="AG37" s="30"/>
      <c r="AH37" s="30"/>
      <c r="AI37" s="30"/>
    </row>
    <row r="38" spans="1:35" ht="17.100000000000001" customHeight="1">
      <c r="B38" s="61"/>
      <c r="C38" s="61"/>
      <c r="D38" s="494"/>
      <c r="E38" s="495"/>
      <c r="F38" s="97"/>
      <c r="G38" s="98"/>
      <c r="H38" s="97"/>
      <c r="I38" s="98"/>
      <c r="J38" s="494"/>
      <c r="K38" s="495"/>
      <c r="L38" s="97"/>
      <c r="M38" s="59"/>
      <c r="N38" s="58"/>
      <c r="O38" s="61"/>
      <c r="P38" s="31"/>
      <c r="Q38" s="94"/>
      <c r="R38" s="483"/>
      <c r="S38" s="483"/>
      <c r="T38" s="94"/>
      <c r="U38" s="94"/>
      <c r="V38" s="484"/>
      <c r="W38" s="484"/>
      <c r="X38" s="13"/>
      <c r="Y38" s="483"/>
      <c r="Z38" s="19"/>
      <c r="AA38" s="156"/>
      <c r="AE38" s="30"/>
      <c r="AF38" s="30"/>
      <c r="AG38" s="30"/>
      <c r="AH38" s="30"/>
      <c r="AI38" s="30"/>
    </row>
    <row r="39" spans="1:35" ht="17.100000000000001" customHeight="1">
      <c r="B39" s="521">
        <f>N33+1</f>
        <v>30</v>
      </c>
      <c r="C39" s="522"/>
      <c r="D39" s="561">
        <f>B39+1</f>
        <v>31</v>
      </c>
      <c r="E39" s="524"/>
      <c r="F39" s="499"/>
      <c r="G39" s="498"/>
      <c r="H39" s="499"/>
      <c r="I39" s="498"/>
      <c r="J39" s="499"/>
      <c r="K39" s="498"/>
      <c r="L39" s="499"/>
      <c r="M39" s="498"/>
      <c r="N39" s="499"/>
      <c r="O39" s="497"/>
      <c r="P39" s="31"/>
      <c r="Q39" s="94"/>
      <c r="R39" s="484"/>
      <c r="S39" s="484"/>
      <c r="T39" s="94"/>
      <c r="U39" s="94"/>
      <c r="V39" s="484"/>
      <c r="W39" s="484"/>
      <c r="X39" s="13"/>
      <c r="Y39" s="483"/>
      <c r="Z39" s="19"/>
      <c r="AA39" s="156"/>
      <c r="AE39" s="30"/>
      <c r="AF39" s="30"/>
      <c r="AG39" s="30"/>
      <c r="AH39" s="30"/>
      <c r="AI39" s="30"/>
    </row>
    <row r="40" spans="1:35" ht="17.100000000000001" customHeight="1">
      <c r="B40" s="34"/>
      <c r="C40" s="34"/>
      <c r="D40" s="37"/>
      <c r="E40" s="38"/>
      <c r="F40" s="37"/>
      <c r="G40" s="38"/>
      <c r="H40" s="37"/>
      <c r="I40" s="38"/>
      <c r="J40" s="37"/>
      <c r="K40" s="38"/>
      <c r="L40" s="37"/>
      <c r="M40" s="38"/>
      <c r="N40" s="37"/>
      <c r="O40" s="34"/>
      <c r="P40" s="31"/>
      <c r="Q40" s="94"/>
      <c r="R40" s="484"/>
      <c r="S40" s="484"/>
      <c r="T40" s="94"/>
      <c r="U40" s="94"/>
      <c r="V40" s="483"/>
      <c r="W40" s="483"/>
      <c r="X40" s="13"/>
      <c r="Y40" s="482"/>
      <c r="Z40" s="482"/>
      <c r="AA40" s="482"/>
      <c r="AE40" s="30"/>
      <c r="AF40" s="30"/>
      <c r="AG40" s="30"/>
      <c r="AH40" s="30"/>
      <c r="AI40" s="30"/>
    </row>
    <row r="41" spans="1:35" ht="17.100000000000001" customHeight="1">
      <c r="B41" s="34"/>
      <c r="C41" s="34"/>
      <c r="D41" s="37"/>
      <c r="E41" s="38"/>
      <c r="F41" s="37"/>
      <c r="G41" s="38"/>
      <c r="H41" s="37"/>
      <c r="I41" s="38"/>
      <c r="J41" s="37"/>
      <c r="K41" s="38"/>
      <c r="L41" s="37"/>
      <c r="M41" s="38"/>
      <c r="N41" s="37"/>
      <c r="O41" s="34"/>
      <c r="P41" s="31"/>
      <c r="Q41" s="94"/>
      <c r="R41" s="483"/>
      <c r="S41" s="483"/>
      <c r="T41" s="94"/>
      <c r="U41" s="94"/>
      <c r="V41" s="555"/>
      <c r="W41" s="476"/>
      <c r="X41" s="13"/>
      <c r="Y41" s="94"/>
      <c r="Z41" s="566"/>
      <c r="AA41" s="566"/>
      <c r="AE41" s="30"/>
      <c r="AF41" s="30"/>
      <c r="AG41" s="30"/>
      <c r="AH41" s="30"/>
      <c r="AI41" s="30"/>
    </row>
    <row r="42" spans="1:35" ht="17.25">
      <c r="B42" s="46"/>
      <c r="C42" s="46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46"/>
      <c r="P42" s="31"/>
      <c r="Q42" s="94"/>
      <c r="R42" s="555"/>
      <c r="S42" s="476"/>
      <c r="T42" s="94"/>
      <c r="U42" s="13"/>
      <c r="V42" s="13"/>
      <c r="W42" s="13"/>
      <c r="X42" s="13"/>
      <c r="Y42" s="13"/>
      <c r="Z42" s="13"/>
      <c r="AA42" s="13"/>
      <c r="AE42" s="30"/>
      <c r="AF42" s="30"/>
      <c r="AG42" s="30"/>
      <c r="AH42" s="30"/>
      <c r="AI42" s="30"/>
    </row>
    <row r="43" spans="1:35" ht="17.25">
      <c r="B43" s="46"/>
      <c r="C43" s="46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46"/>
      <c r="Q43" s="47"/>
      <c r="R43" s="50"/>
      <c r="S43" s="50"/>
      <c r="AE43" s="30"/>
      <c r="AF43" s="30"/>
      <c r="AG43" s="30"/>
      <c r="AH43" s="30"/>
      <c r="AI43" s="30"/>
    </row>
    <row r="44" spans="1:35" ht="17.25">
      <c r="B44" s="40"/>
      <c r="C44" s="40"/>
      <c r="D44" s="41"/>
      <c r="E44" s="42"/>
      <c r="F44" s="41"/>
      <c r="G44" s="42"/>
      <c r="H44" s="41"/>
      <c r="I44" s="42"/>
      <c r="J44" s="41"/>
      <c r="K44" s="42"/>
      <c r="L44" s="41"/>
      <c r="M44" s="42"/>
      <c r="N44" s="41"/>
      <c r="O44" s="40"/>
      <c r="Q44" s="47"/>
      <c r="R44" s="15"/>
      <c r="S44" s="15"/>
      <c r="AE44" s="30"/>
      <c r="AF44" s="64"/>
      <c r="AG44" s="30"/>
      <c r="AH44" s="30"/>
      <c r="AI44" s="30"/>
    </row>
    <row r="45" spans="1:35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Q45" s="47"/>
      <c r="R45" s="51"/>
      <c r="S45" s="51"/>
      <c r="AE45" s="30"/>
      <c r="AF45" s="30"/>
      <c r="AG45" s="30"/>
      <c r="AH45" s="30"/>
      <c r="AI45" s="30"/>
    </row>
    <row r="46" spans="1:35" ht="17.25">
      <c r="B46" s="553"/>
      <c r="C46" s="553"/>
      <c r="D46" s="553"/>
      <c r="E46" s="553"/>
      <c r="F46" s="553"/>
      <c r="G46" s="553"/>
      <c r="H46" s="553"/>
      <c r="I46" s="553"/>
      <c r="J46" s="553"/>
      <c r="K46" s="553"/>
      <c r="L46" s="553"/>
      <c r="M46" s="553"/>
      <c r="N46" s="553"/>
      <c r="O46" s="553"/>
      <c r="P46" s="13"/>
      <c r="AE46" s="30"/>
      <c r="AF46" s="30"/>
      <c r="AG46" s="30"/>
      <c r="AH46" s="30"/>
      <c r="AI46" s="30"/>
    </row>
    <row r="47" spans="1:35" ht="17.25"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53"/>
      <c r="P47" s="13"/>
      <c r="AE47" s="30"/>
      <c r="AF47" s="30"/>
      <c r="AG47" s="30"/>
      <c r="AH47" s="30"/>
      <c r="AI47" s="30"/>
    </row>
    <row r="48" spans="1:35" ht="17.25">
      <c r="B48" s="553"/>
      <c r="C48" s="553"/>
      <c r="D48" s="554"/>
      <c r="E48" s="553"/>
      <c r="F48" s="554"/>
      <c r="G48" s="553"/>
      <c r="H48" s="554"/>
      <c r="I48" s="553"/>
      <c r="J48" s="554"/>
      <c r="K48" s="553"/>
      <c r="L48" s="554"/>
      <c r="M48" s="553"/>
      <c r="N48" s="554"/>
      <c r="O48" s="553"/>
      <c r="P48" s="13"/>
      <c r="AE48" s="30"/>
      <c r="AF48" s="30"/>
      <c r="AG48" s="30"/>
      <c r="AH48" s="30"/>
      <c r="AI48" s="30"/>
    </row>
    <row r="49" spans="2:16" ht="17.25"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3"/>
    </row>
    <row r="50" spans="2:16" ht="17.25"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13"/>
    </row>
    <row r="51" spans="2:16" ht="17.25"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13"/>
    </row>
    <row r="52" spans="2:16" ht="17.25">
      <c r="B52" s="553"/>
      <c r="C52" s="553"/>
      <c r="D52" s="554"/>
      <c r="E52" s="553"/>
      <c r="F52" s="554"/>
      <c r="G52" s="553"/>
      <c r="H52" s="554"/>
      <c r="I52" s="553"/>
      <c r="J52" s="554"/>
      <c r="K52" s="553"/>
      <c r="L52" s="554"/>
      <c r="M52" s="553"/>
      <c r="N52" s="554"/>
      <c r="O52" s="553"/>
      <c r="P52" s="13"/>
    </row>
  </sheetData>
  <mergeCells count="239">
    <mergeCell ref="B52:C52"/>
    <mergeCell ref="D52:E52"/>
    <mergeCell ref="F52:G52"/>
    <mergeCell ref="H52:I52"/>
    <mergeCell ref="J52:K52"/>
    <mergeCell ref="L52:M52"/>
    <mergeCell ref="N52:O52"/>
    <mergeCell ref="B48:C48"/>
    <mergeCell ref="F48:G48"/>
    <mergeCell ref="H48:I48"/>
    <mergeCell ref="J48:K48"/>
    <mergeCell ref="L48:M48"/>
    <mergeCell ref="N48:O48"/>
    <mergeCell ref="B50:C50"/>
    <mergeCell ref="D50:E50"/>
    <mergeCell ref="F50:G50"/>
    <mergeCell ref="H50:I50"/>
    <mergeCell ref="J50:K50"/>
    <mergeCell ref="L50:M50"/>
    <mergeCell ref="N50:O50"/>
    <mergeCell ref="D48:E48"/>
    <mergeCell ref="B51:C51"/>
    <mergeCell ref="D51:E51"/>
    <mergeCell ref="F51:G51"/>
    <mergeCell ref="V36:W36"/>
    <mergeCell ref="V37:W37"/>
    <mergeCell ref="N47:O47"/>
    <mergeCell ref="D46:E46"/>
    <mergeCell ref="D47:E47"/>
    <mergeCell ref="F32:G32"/>
    <mergeCell ref="Z27:AA27"/>
    <mergeCell ref="Z41:AA41"/>
    <mergeCell ref="Y29:Y39"/>
    <mergeCell ref="Y40:AA40"/>
    <mergeCell ref="J47:K47"/>
    <mergeCell ref="L47:M47"/>
    <mergeCell ref="V29:W29"/>
    <mergeCell ref="F30:G30"/>
    <mergeCell ref="H28:I28"/>
    <mergeCell ref="H29:I29"/>
    <mergeCell ref="H30:I30"/>
    <mergeCell ref="J28:K28"/>
    <mergeCell ref="J29:K29"/>
    <mergeCell ref="J30:K30"/>
    <mergeCell ref="D36:E36"/>
    <mergeCell ref="D37:E37"/>
    <mergeCell ref="J32:K32"/>
    <mergeCell ref="D29:E29"/>
    <mergeCell ref="Z14:AA14"/>
    <mergeCell ref="Z15:AA15"/>
    <mergeCell ref="Z16:AA16"/>
    <mergeCell ref="Z17:AA17"/>
    <mergeCell ref="Z18:AA18"/>
    <mergeCell ref="Z19:AA19"/>
    <mergeCell ref="R42:S42"/>
    <mergeCell ref="R36:S36"/>
    <mergeCell ref="R37:S37"/>
    <mergeCell ref="R38:S38"/>
    <mergeCell ref="R31:S31"/>
    <mergeCell ref="V39:W39"/>
    <mergeCell ref="R39:S39"/>
    <mergeCell ref="V40:W40"/>
    <mergeCell ref="V41:W41"/>
    <mergeCell ref="V31:W31"/>
    <mergeCell ref="V38:W38"/>
    <mergeCell ref="R27:S27"/>
    <mergeCell ref="R23:S23"/>
    <mergeCell ref="R40:S40"/>
    <mergeCell ref="R41:S41"/>
    <mergeCell ref="V27:W27"/>
    <mergeCell ref="V28:W28"/>
    <mergeCell ref="V30:W30"/>
    <mergeCell ref="H51:I51"/>
    <mergeCell ref="J51:K51"/>
    <mergeCell ref="L51:M51"/>
    <mergeCell ref="N51:O51"/>
    <mergeCell ref="B46:C46"/>
    <mergeCell ref="F46:G46"/>
    <mergeCell ref="H46:I46"/>
    <mergeCell ref="J46:K46"/>
    <mergeCell ref="L46:M46"/>
    <mergeCell ref="N46:O46"/>
    <mergeCell ref="B47:C47"/>
    <mergeCell ref="F47:G47"/>
    <mergeCell ref="H47:I47"/>
    <mergeCell ref="V21:W21"/>
    <mergeCell ref="R25:S25"/>
    <mergeCell ref="R26:S26"/>
    <mergeCell ref="Z21:AA21"/>
    <mergeCell ref="Z22:AA22"/>
    <mergeCell ref="Z23:AA23"/>
    <mergeCell ref="Z24:AA24"/>
    <mergeCell ref="Z25:AA25"/>
    <mergeCell ref="Z26:AA26"/>
    <mergeCell ref="Z12:AA12"/>
    <mergeCell ref="V22:W22"/>
    <mergeCell ref="H23:I23"/>
    <mergeCell ref="R17:S17"/>
    <mergeCell ref="V24:W24"/>
    <mergeCell ref="H26:I26"/>
    <mergeCell ref="Z6:AA6"/>
    <mergeCell ref="Z7:AA7"/>
    <mergeCell ref="Z8:AA8"/>
    <mergeCell ref="R18:S18"/>
    <mergeCell ref="R19:S19"/>
    <mergeCell ref="R20:S20"/>
    <mergeCell ref="H19:I19"/>
    <mergeCell ref="H20:I20"/>
    <mergeCell ref="V6:W6"/>
    <mergeCell ref="V7:W7"/>
    <mergeCell ref="V8:W8"/>
    <mergeCell ref="V26:W26"/>
    <mergeCell ref="V20:W20"/>
    <mergeCell ref="V15:W15"/>
    <mergeCell ref="V16:W16"/>
    <mergeCell ref="V17:W17"/>
    <mergeCell ref="V18:W18"/>
    <mergeCell ref="V19:W19"/>
    <mergeCell ref="Z9:AA9"/>
    <mergeCell ref="Z10:AA10"/>
    <mergeCell ref="L18:M18"/>
    <mergeCell ref="N18:O18"/>
    <mergeCell ref="J35:K35"/>
    <mergeCell ref="N27:O27"/>
    <mergeCell ref="L28:M28"/>
    <mergeCell ref="N28:O28"/>
    <mergeCell ref="V9:W9"/>
    <mergeCell ref="V10:W10"/>
    <mergeCell ref="V11:W11"/>
    <mergeCell ref="V12:W12"/>
    <mergeCell ref="V13:W13"/>
    <mergeCell ref="R35:S35"/>
    <mergeCell ref="R28:S28"/>
    <mergeCell ref="R29:S29"/>
    <mergeCell ref="R30:S30"/>
    <mergeCell ref="R32:S32"/>
    <mergeCell ref="R33:S33"/>
    <mergeCell ref="V33:W33"/>
    <mergeCell ref="V34:W34"/>
    <mergeCell ref="V35:W35"/>
    <mergeCell ref="V25:W25"/>
    <mergeCell ref="Z11:AA11"/>
    <mergeCell ref="D34:E34"/>
    <mergeCell ref="N39:O39"/>
    <mergeCell ref="D31:E31"/>
    <mergeCell ref="D32:E32"/>
    <mergeCell ref="L33:M33"/>
    <mergeCell ref="N33:O33"/>
    <mergeCell ref="J33:K33"/>
    <mergeCell ref="N6:O6"/>
    <mergeCell ref="N12:O12"/>
    <mergeCell ref="L6:M6"/>
    <mergeCell ref="J6:K6"/>
    <mergeCell ref="J12:K12"/>
    <mergeCell ref="F21:G21"/>
    <mergeCell ref="F22:G22"/>
    <mergeCell ref="H22:I22"/>
    <mergeCell ref="D28:E28"/>
    <mergeCell ref="D38:E38"/>
    <mergeCell ref="F34:G34"/>
    <mergeCell ref="F35:G35"/>
    <mergeCell ref="F36:G36"/>
    <mergeCell ref="H34:I34"/>
    <mergeCell ref="H35:I35"/>
    <mergeCell ref="H36:I36"/>
    <mergeCell ref="J34:K34"/>
    <mergeCell ref="F31:G31"/>
    <mergeCell ref="B6:C6"/>
    <mergeCell ref="D6:E6"/>
    <mergeCell ref="F6:G6"/>
    <mergeCell ref="H6:I6"/>
    <mergeCell ref="D19:E19"/>
    <mergeCell ref="L13:M13"/>
    <mergeCell ref="L14:M14"/>
    <mergeCell ref="Q2:S2"/>
    <mergeCell ref="Q3:S4"/>
    <mergeCell ref="B4:O4"/>
    <mergeCell ref="B5:C5"/>
    <mergeCell ref="D5:E5"/>
    <mergeCell ref="F5:G5"/>
    <mergeCell ref="H5:I5"/>
    <mergeCell ref="J5:K5"/>
    <mergeCell ref="L5:M5"/>
    <mergeCell ref="N5:O5"/>
    <mergeCell ref="B2:O3"/>
    <mergeCell ref="F10:G10"/>
    <mergeCell ref="H10:I10"/>
    <mergeCell ref="L12:M12"/>
    <mergeCell ref="B12:C12"/>
    <mergeCell ref="D12:E12"/>
    <mergeCell ref="F12:G12"/>
    <mergeCell ref="H12:I12"/>
    <mergeCell ref="R22:S22"/>
    <mergeCell ref="R21:S21"/>
    <mergeCell ref="H21:I21"/>
    <mergeCell ref="D21:E21"/>
    <mergeCell ref="F19:G19"/>
    <mergeCell ref="F20:G20"/>
    <mergeCell ref="D20:E20"/>
    <mergeCell ref="D22:E22"/>
    <mergeCell ref="J19:K19"/>
    <mergeCell ref="L19:M19"/>
    <mergeCell ref="N19:O19"/>
    <mergeCell ref="H18:I18"/>
    <mergeCell ref="J18:K18"/>
    <mergeCell ref="Q6:Q16"/>
    <mergeCell ref="B27:C27"/>
    <mergeCell ref="D27:E27"/>
    <mergeCell ref="F27:G27"/>
    <mergeCell ref="H27:I27"/>
    <mergeCell ref="B18:C18"/>
    <mergeCell ref="D18:E18"/>
    <mergeCell ref="F18:G18"/>
    <mergeCell ref="H25:I25"/>
    <mergeCell ref="H24:I24"/>
    <mergeCell ref="B35:C35"/>
    <mergeCell ref="D35:E35"/>
    <mergeCell ref="D23:E23"/>
    <mergeCell ref="F23:G23"/>
    <mergeCell ref="J27:K27"/>
    <mergeCell ref="L27:M27"/>
    <mergeCell ref="B39:C39"/>
    <mergeCell ref="D39:E39"/>
    <mergeCell ref="F39:G39"/>
    <mergeCell ref="B33:C33"/>
    <mergeCell ref="D33:E33"/>
    <mergeCell ref="F33:G33"/>
    <mergeCell ref="H33:I33"/>
    <mergeCell ref="B28:C28"/>
    <mergeCell ref="B34:C34"/>
    <mergeCell ref="L39:M39"/>
    <mergeCell ref="H31:I31"/>
    <mergeCell ref="J31:K31"/>
    <mergeCell ref="D30:E30"/>
    <mergeCell ref="F28:G28"/>
    <mergeCell ref="F29:G29"/>
    <mergeCell ref="H39:I39"/>
    <mergeCell ref="J39:K39"/>
    <mergeCell ref="J38:K38"/>
  </mergeCells>
  <phoneticPr fontId="1" type="noConversion"/>
  <pageMargins left="0.25" right="0.25" top="0.75" bottom="0.75" header="0.3" footer="0.3"/>
  <pageSetup paperSize="9" scale="61" fitToWidth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9"/>
  <sheetViews>
    <sheetView view="pageBreakPreview" zoomScale="70" zoomScaleNormal="85" zoomScaleSheetLayoutView="70" workbookViewId="0">
      <selection activeCell="Q6" sqref="Q6:S17"/>
    </sheetView>
  </sheetViews>
  <sheetFormatPr defaultColWidth="9" defaultRowHeight="16.5"/>
  <cols>
    <col min="1" max="1" width="5.625" style="1" customWidth="1"/>
    <col min="2" max="15" width="9" style="1"/>
    <col min="16" max="16" width="5.625" style="1" customWidth="1"/>
    <col min="17" max="19" width="10.625" style="1" customWidth="1"/>
    <col min="20" max="20" width="5.625" style="1" customWidth="1"/>
    <col min="21" max="23" width="10.625" style="1" customWidth="1"/>
    <col min="24" max="24" width="5.625" style="1" customWidth="1"/>
    <col min="25" max="27" width="10.625" style="1" customWidth="1"/>
    <col min="28" max="28" width="5.625" style="1" customWidth="1"/>
    <col min="29" max="16384" width="9" style="1"/>
  </cols>
  <sheetData>
    <row r="1" spans="1:24" ht="17.25" thickBo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6.5" customHeight="1">
      <c r="A2" s="31"/>
      <c r="B2" s="504" t="s">
        <v>8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31"/>
      <c r="Q2" s="506" t="s">
        <v>0</v>
      </c>
      <c r="R2" s="507"/>
      <c r="S2" s="508"/>
      <c r="T2" s="31"/>
      <c r="U2" s="31"/>
      <c r="V2" s="31"/>
      <c r="W2" s="31"/>
      <c r="X2" s="31"/>
    </row>
    <row r="3" spans="1:24" ht="16.5" customHeight="1" thickBot="1">
      <c r="A3" s="31"/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31"/>
      <c r="Q3" s="509">
        <f>V48</f>
        <v>0</v>
      </c>
      <c r="R3" s="510"/>
      <c r="S3" s="511"/>
      <c r="T3" s="31"/>
      <c r="U3" s="31"/>
      <c r="V3" s="31"/>
      <c r="W3" s="31"/>
      <c r="X3" s="31"/>
    </row>
    <row r="4" spans="1:24" ht="21.75" customHeight="1" thickBot="1">
      <c r="A4" s="31"/>
      <c r="B4" s="515" t="s">
        <v>21</v>
      </c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515"/>
      <c r="P4" s="31"/>
      <c r="Q4" s="512"/>
      <c r="R4" s="513"/>
      <c r="S4" s="514"/>
      <c r="T4" s="31"/>
      <c r="U4" s="31"/>
      <c r="V4" s="31"/>
      <c r="W4" s="31"/>
      <c r="X4" s="31"/>
    </row>
    <row r="5" spans="1:24" ht="30" customHeight="1" thickBot="1">
      <c r="A5" s="31"/>
      <c r="B5" s="516" t="s">
        <v>4</v>
      </c>
      <c r="C5" s="517"/>
      <c r="D5" s="518" t="s">
        <v>1</v>
      </c>
      <c r="E5" s="518"/>
      <c r="F5" s="518" t="s">
        <v>5</v>
      </c>
      <c r="G5" s="518"/>
      <c r="H5" s="518" t="s">
        <v>6</v>
      </c>
      <c r="I5" s="518"/>
      <c r="J5" s="518" t="s">
        <v>2</v>
      </c>
      <c r="K5" s="518"/>
      <c r="L5" s="518" t="s">
        <v>3</v>
      </c>
      <c r="M5" s="518"/>
      <c r="N5" s="519" t="s">
        <v>7</v>
      </c>
      <c r="O5" s="520"/>
      <c r="P5" s="31"/>
      <c r="Q5" s="32"/>
      <c r="R5" s="32"/>
      <c r="S5" s="32"/>
      <c r="T5" s="31"/>
      <c r="U5" s="31"/>
      <c r="V5" s="31"/>
      <c r="W5" s="31"/>
      <c r="X5" s="31"/>
    </row>
    <row r="6" spans="1:24" ht="17.100000000000001" customHeight="1">
      <c r="A6" s="31"/>
      <c r="B6" s="558"/>
      <c r="C6" s="567"/>
      <c r="D6" s="499"/>
      <c r="E6" s="498"/>
      <c r="F6" s="500">
        <f>D6+1</f>
        <v>1</v>
      </c>
      <c r="G6" s="501"/>
      <c r="H6" s="500">
        <f t="shared" ref="H6" si="0">F6+1</f>
        <v>2</v>
      </c>
      <c r="I6" s="501"/>
      <c r="J6" s="500">
        <f t="shared" ref="J6" si="1">H6+1</f>
        <v>3</v>
      </c>
      <c r="K6" s="501"/>
      <c r="L6" s="500">
        <f>J6+1</f>
        <v>4</v>
      </c>
      <c r="M6" s="501"/>
      <c r="N6" s="502">
        <f t="shared" ref="N6" si="2">L6+1</f>
        <v>5</v>
      </c>
      <c r="O6" s="503"/>
      <c r="P6" s="31"/>
      <c r="Q6" s="485" t="s">
        <v>9</v>
      </c>
      <c r="R6" s="123"/>
      <c r="S6" s="52"/>
      <c r="T6" s="94"/>
      <c r="U6" s="3"/>
      <c r="V6" s="565"/>
      <c r="W6" s="565"/>
      <c r="X6" s="31"/>
    </row>
    <row r="7" spans="1:24" ht="17.100000000000001" customHeight="1">
      <c r="A7" s="31"/>
      <c r="B7" s="34"/>
      <c r="C7" s="34"/>
      <c r="D7" s="35"/>
      <c r="E7" s="36"/>
      <c r="F7" s="35"/>
      <c r="G7" s="36"/>
      <c r="H7" s="35"/>
      <c r="I7" s="36"/>
      <c r="J7" s="35"/>
      <c r="K7" s="36"/>
      <c r="L7" s="39"/>
      <c r="M7" s="38"/>
      <c r="N7" s="37"/>
      <c r="O7" s="34"/>
      <c r="P7" s="31"/>
      <c r="Q7" s="486"/>
      <c r="R7" s="124"/>
      <c r="S7" s="53"/>
      <c r="T7" s="94"/>
      <c r="U7" s="94"/>
      <c r="V7" s="483"/>
      <c r="W7" s="483"/>
      <c r="X7" s="31"/>
    </row>
    <row r="8" spans="1:24" ht="17.100000000000001" customHeight="1">
      <c r="A8" s="31"/>
      <c r="B8" s="34"/>
      <c r="C8" s="34"/>
      <c r="D8" s="35"/>
      <c r="E8" s="36"/>
      <c r="F8" s="35"/>
      <c r="G8" s="36"/>
      <c r="H8" s="65"/>
      <c r="I8" s="66"/>
      <c r="J8" s="65"/>
      <c r="K8" s="66"/>
      <c r="L8" s="37"/>
      <c r="M8" s="38"/>
      <c r="N8" s="37"/>
      <c r="O8" s="34"/>
      <c r="P8" s="31"/>
      <c r="Q8" s="486"/>
      <c r="R8" s="144"/>
      <c r="S8" s="53"/>
      <c r="T8" s="94"/>
      <c r="U8" s="3"/>
      <c r="V8" s="563"/>
      <c r="W8" s="563"/>
      <c r="X8" s="31"/>
    </row>
    <row r="9" spans="1:24" ht="17.100000000000001" customHeight="1">
      <c r="A9" s="31"/>
      <c r="B9" s="34"/>
      <c r="C9" s="34"/>
      <c r="D9" s="35"/>
      <c r="E9" s="36"/>
      <c r="F9" s="35"/>
      <c r="G9" s="36"/>
      <c r="H9" s="65"/>
      <c r="I9" s="66"/>
      <c r="J9" s="65"/>
      <c r="K9" s="66"/>
      <c r="L9" s="37"/>
      <c r="M9" s="38"/>
      <c r="N9" s="37"/>
      <c r="O9" s="34"/>
      <c r="P9" s="31"/>
      <c r="Q9" s="486"/>
      <c r="R9" s="145"/>
      <c r="S9" s="54"/>
      <c r="T9" s="94"/>
      <c r="U9" s="3"/>
      <c r="V9" s="563"/>
      <c r="W9" s="563"/>
      <c r="X9" s="31"/>
    </row>
    <row r="10" spans="1:24" ht="17.100000000000001" customHeight="1">
      <c r="A10" s="31"/>
      <c r="B10" s="34"/>
      <c r="C10" s="34"/>
      <c r="D10" s="35"/>
      <c r="E10" s="36"/>
      <c r="F10" s="35"/>
      <c r="G10" s="36"/>
      <c r="H10" s="65"/>
      <c r="I10" s="66"/>
      <c r="J10" s="65"/>
      <c r="K10" s="66"/>
      <c r="L10" s="37"/>
      <c r="M10" s="38"/>
      <c r="N10" s="37"/>
      <c r="O10" s="34"/>
      <c r="P10" s="31"/>
      <c r="Q10" s="486"/>
      <c r="R10" s="145"/>
      <c r="S10" s="54"/>
      <c r="T10" s="94"/>
      <c r="U10" s="3"/>
      <c r="V10" s="564"/>
      <c r="W10" s="564"/>
      <c r="X10" s="31"/>
    </row>
    <row r="11" spans="1:24" ht="17.100000000000001" customHeight="1">
      <c r="A11" s="31"/>
      <c r="B11" s="40"/>
      <c r="C11" s="40"/>
      <c r="D11" s="58"/>
      <c r="E11" s="59"/>
      <c r="F11" s="68"/>
      <c r="G11" s="69"/>
      <c r="H11" s="58"/>
      <c r="I11" s="59"/>
      <c r="J11" s="58"/>
      <c r="K11" s="59"/>
      <c r="L11" s="41"/>
      <c r="M11" s="42"/>
      <c r="N11" s="41"/>
      <c r="O11" s="40"/>
      <c r="P11" s="31"/>
      <c r="Q11" s="486"/>
      <c r="R11" s="145"/>
      <c r="S11" s="54"/>
      <c r="T11" s="94"/>
      <c r="U11" s="3"/>
      <c r="V11" s="563"/>
      <c r="W11" s="563"/>
      <c r="X11" s="31"/>
    </row>
    <row r="12" spans="1:24" ht="17.100000000000001" customHeight="1">
      <c r="A12" s="31"/>
      <c r="B12" s="521">
        <f>N6+1</f>
        <v>6</v>
      </c>
      <c r="C12" s="522"/>
      <c r="D12" s="500">
        <f>B12+1</f>
        <v>7</v>
      </c>
      <c r="E12" s="501"/>
      <c r="F12" s="500">
        <f>D12+1</f>
        <v>8</v>
      </c>
      <c r="G12" s="501"/>
      <c r="H12" s="500">
        <f t="shared" ref="H12" si="3">F12+1</f>
        <v>9</v>
      </c>
      <c r="I12" s="501"/>
      <c r="J12" s="500">
        <f t="shared" ref="J12" si="4">H12+1</f>
        <v>10</v>
      </c>
      <c r="K12" s="501"/>
      <c r="L12" s="500">
        <f t="shared" ref="L12" si="5">J12+1</f>
        <v>11</v>
      </c>
      <c r="M12" s="501"/>
      <c r="N12" s="502">
        <f t="shared" ref="N12" si="6">L12+1</f>
        <v>12</v>
      </c>
      <c r="O12" s="503"/>
      <c r="P12" s="31"/>
      <c r="Q12" s="486"/>
      <c r="R12" s="147"/>
      <c r="S12" s="54"/>
      <c r="T12" s="94"/>
      <c r="U12" s="13"/>
      <c r="V12" s="13"/>
      <c r="W12" s="13"/>
      <c r="X12" s="31"/>
    </row>
    <row r="13" spans="1:24" ht="17.100000000000001" customHeight="1">
      <c r="A13" s="31"/>
      <c r="B13" s="34"/>
      <c r="C13" s="34"/>
      <c r="D13" s="494"/>
      <c r="E13" s="495"/>
      <c r="F13" s="494"/>
      <c r="G13" s="495"/>
      <c r="H13" s="35"/>
      <c r="I13" s="36"/>
      <c r="J13" s="494"/>
      <c r="K13" s="495"/>
      <c r="L13" s="95"/>
      <c r="M13" s="38"/>
      <c r="N13" s="37"/>
      <c r="O13" s="34"/>
      <c r="P13" s="31"/>
      <c r="Q13" s="486"/>
      <c r="R13" s="144"/>
      <c r="S13" s="53"/>
      <c r="T13" s="94"/>
      <c r="U13" s="94"/>
      <c r="V13" s="482"/>
      <c r="W13" s="482"/>
      <c r="X13" s="31"/>
    </row>
    <row r="14" spans="1:24" ht="17.100000000000001" customHeight="1">
      <c r="A14" s="31"/>
      <c r="B14" s="34"/>
      <c r="C14" s="34"/>
      <c r="D14" s="494"/>
      <c r="E14" s="495"/>
      <c r="F14" s="494"/>
      <c r="G14" s="495"/>
      <c r="H14" s="35"/>
      <c r="I14" s="36"/>
      <c r="J14" s="95"/>
      <c r="K14" s="96"/>
      <c r="L14" s="95"/>
      <c r="M14" s="38"/>
      <c r="N14" s="37"/>
      <c r="O14" s="34"/>
      <c r="P14" s="31"/>
      <c r="Q14" s="486"/>
      <c r="R14" s="144"/>
      <c r="S14" s="53"/>
      <c r="T14" s="94"/>
      <c r="U14" s="94"/>
      <c r="V14" s="483"/>
      <c r="W14" s="483"/>
      <c r="X14" s="31"/>
    </row>
    <row r="15" spans="1:24" ht="17.100000000000001" customHeight="1">
      <c r="A15" s="31"/>
      <c r="B15" s="34"/>
      <c r="C15" s="34"/>
      <c r="D15" s="95"/>
      <c r="E15" s="96"/>
      <c r="F15" s="95"/>
      <c r="G15" s="96"/>
      <c r="H15" s="95"/>
      <c r="I15" s="96"/>
      <c r="J15" s="95"/>
      <c r="K15" s="96"/>
      <c r="L15" s="95"/>
      <c r="M15" s="38"/>
      <c r="N15" s="37"/>
      <c r="O15" s="34"/>
      <c r="P15" s="31"/>
      <c r="Q15" s="486"/>
      <c r="R15" s="144"/>
      <c r="S15" s="53"/>
      <c r="T15" s="94"/>
      <c r="U15" s="94"/>
      <c r="V15" s="483"/>
      <c r="W15" s="483"/>
      <c r="X15" s="31"/>
    </row>
    <row r="16" spans="1:24" ht="17.100000000000001" customHeight="1" thickBot="1">
      <c r="A16" s="31"/>
      <c r="B16" s="34"/>
      <c r="C16" s="34"/>
      <c r="D16" s="37"/>
      <c r="E16" s="38"/>
      <c r="F16" s="37"/>
      <c r="G16" s="38"/>
      <c r="H16" s="37"/>
      <c r="I16" s="38"/>
      <c r="J16" s="37"/>
      <c r="K16" s="38"/>
      <c r="L16" s="37"/>
      <c r="M16" s="38"/>
      <c r="N16" s="37"/>
      <c r="O16" s="34"/>
      <c r="P16" s="31"/>
      <c r="Q16" s="530"/>
      <c r="R16" s="148"/>
      <c r="S16" s="149"/>
      <c r="T16" s="94"/>
      <c r="U16" s="94"/>
      <c r="V16" s="483"/>
      <c r="W16" s="483"/>
      <c r="X16" s="31"/>
    </row>
    <row r="17" spans="1:24" ht="17.100000000000001" customHeight="1" thickBot="1">
      <c r="A17" s="31"/>
      <c r="B17" s="40"/>
      <c r="C17" s="40"/>
      <c r="D17" s="41"/>
      <c r="E17" s="42"/>
      <c r="F17" s="41"/>
      <c r="G17" s="42"/>
      <c r="H17" s="41"/>
      <c r="I17" s="42"/>
      <c r="J17" s="41"/>
      <c r="K17" s="42"/>
      <c r="L17" s="41"/>
      <c r="M17" s="42"/>
      <c r="N17" s="41"/>
      <c r="O17" s="40"/>
      <c r="P17" s="31"/>
      <c r="Q17" s="55" t="s">
        <v>10</v>
      </c>
      <c r="R17" s="534">
        <f>SUM(S6:S16)*88000</f>
        <v>0</v>
      </c>
      <c r="S17" s="535"/>
      <c r="T17" s="94"/>
      <c r="U17" s="94"/>
      <c r="V17" s="484"/>
      <c r="W17" s="484"/>
      <c r="X17" s="31"/>
    </row>
    <row r="18" spans="1:24" ht="17.100000000000001" customHeight="1">
      <c r="A18" s="31"/>
      <c r="B18" s="521">
        <f>N12+1</f>
        <v>13</v>
      </c>
      <c r="C18" s="522"/>
      <c r="D18" s="500">
        <f>B18+1</f>
        <v>14</v>
      </c>
      <c r="E18" s="501"/>
      <c r="F18" s="500">
        <f>D18+1</f>
        <v>15</v>
      </c>
      <c r="G18" s="501"/>
      <c r="H18" s="500">
        <f t="shared" ref="H18" si="7">F18+1</f>
        <v>16</v>
      </c>
      <c r="I18" s="501"/>
      <c r="J18" s="500">
        <f t="shared" ref="J18" si="8">H18+1</f>
        <v>17</v>
      </c>
      <c r="K18" s="501"/>
      <c r="L18" s="500">
        <f t="shared" ref="L18" si="9">J18+1</f>
        <v>18</v>
      </c>
      <c r="M18" s="501"/>
      <c r="N18" s="502">
        <f t="shared" ref="N18" si="10">L18+1</f>
        <v>19</v>
      </c>
      <c r="O18" s="503"/>
      <c r="P18" s="31"/>
      <c r="Q18" s="94"/>
      <c r="R18" s="484"/>
      <c r="S18" s="484"/>
      <c r="T18" s="94"/>
      <c r="U18" s="94"/>
      <c r="V18" s="484"/>
      <c r="W18" s="484"/>
      <c r="X18" s="31"/>
    </row>
    <row r="19" spans="1:24" ht="17.100000000000001" customHeight="1">
      <c r="A19" s="31"/>
      <c r="B19" s="34"/>
      <c r="C19" s="38"/>
      <c r="D19" s="494"/>
      <c r="E19" s="495"/>
      <c r="F19" s="494"/>
      <c r="G19" s="495"/>
      <c r="H19" s="494"/>
      <c r="I19" s="495"/>
      <c r="J19" s="494"/>
      <c r="K19" s="495"/>
      <c r="L19" s="35"/>
      <c r="M19" s="36"/>
      <c r="N19" s="494"/>
      <c r="O19" s="496"/>
      <c r="P19" s="31"/>
      <c r="Q19" s="94"/>
      <c r="R19" s="483"/>
      <c r="S19" s="483"/>
      <c r="T19" s="94"/>
      <c r="U19" s="94"/>
      <c r="V19" s="483"/>
      <c r="W19" s="483"/>
      <c r="X19" s="31"/>
    </row>
    <row r="20" spans="1:24" ht="17.100000000000001" customHeight="1">
      <c r="A20" s="31"/>
      <c r="B20" s="34"/>
      <c r="C20" s="34"/>
      <c r="D20" s="95"/>
      <c r="E20" s="96"/>
      <c r="F20" s="95"/>
      <c r="G20" s="96"/>
      <c r="H20" s="95"/>
      <c r="I20" s="96"/>
      <c r="J20" s="494"/>
      <c r="K20" s="495"/>
      <c r="L20" s="95"/>
      <c r="M20" s="96"/>
      <c r="N20" s="95"/>
      <c r="O20" s="150"/>
      <c r="P20" s="31"/>
      <c r="Q20" s="94"/>
      <c r="R20" s="555"/>
      <c r="S20" s="476"/>
      <c r="T20" s="94"/>
      <c r="U20" s="94"/>
      <c r="V20" s="555"/>
      <c r="W20" s="476"/>
      <c r="X20" s="31"/>
    </row>
    <row r="21" spans="1:24" ht="17.100000000000001" customHeight="1">
      <c r="A21" s="31"/>
      <c r="B21" s="34"/>
      <c r="C21" s="34"/>
      <c r="D21" s="95"/>
      <c r="E21" s="96"/>
      <c r="F21" s="95"/>
      <c r="G21" s="96"/>
      <c r="H21" s="95"/>
      <c r="I21" s="96"/>
      <c r="J21" s="494"/>
      <c r="K21" s="495"/>
      <c r="L21" s="95"/>
      <c r="M21" s="96"/>
      <c r="N21" s="95"/>
      <c r="O21" s="150"/>
      <c r="P21" s="31"/>
      <c r="Q21" s="94"/>
      <c r="R21" s="12"/>
      <c r="S21" s="12"/>
      <c r="T21" s="94"/>
      <c r="U21" s="13"/>
      <c r="V21" s="13"/>
      <c r="W21" s="13"/>
      <c r="X21" s="72"/>
    </row>
    <row r="22" spans="1:24" ht="17.100000000000001" customHeight="1">
      <c r="A22" s="31"/>
      <c r="B22" s="34"/>
      <c r="C22" s="34"/>
      <c r="D22" s="95"/>
      <c r="E22" s="96"/>
      <c r="F22" s="95"/>
      <c r="G22" s="96"/>
      <c r="H22" s="95"/>
      <c r="I22" s="96"/>
      <c r="J22" s="95"/>
      <c r="K22" s="96"/>
      <c r="L22" s="95"/>
      <c r="M22" s="96"/>
      <c r="N22" s="95"/>
      <c r="O22" s="150"/>
      <c r="P22" s="31"/>
      <c r="Q22" s="3"/>
      <c r="R22" s="565"/>
      <c r="S22" s="565"/>
      <c r="T22" s="94"/>
      <c r="U22" s="3"/>
      <c r="V22" s="557"/>
      <c r="W22" s="557"/>
      <c r="X22" s="72"/>
    </row>
    <row r="23" spans="1:24" ht="17.100000000000001" customHeight="1">
      <c r="A23" s="31"/>
      <c r="B23" s="40"/>
      <c r="C23" s="40"/>
      <c r="D23" s="41"/>
      <c r="E23" s="42"/>
      <c r="F23" s="41"/>
      <c r="G23" s="42"/>
      <c r="H23" s="41"/>
      <c r="I23" s="42"/>
      <c r="J23" s="41"/>
      <c r="K23" s="42"/>
      <c r="L23" s="41"/>
      <c r="M23" s="42"/>
      <c r="N23" s="41"/>
      <c r="O23" s="40"/>
      <c r="P23" s="31"/>
      <c r="Q23" s="94"/>
      <c r="R23" s="483"/>
      <c r="S23" s="483"/>
      <c r="T23" s="94"/>
      <c r="U23" s="94"/>
      <c r="V23" s="483"/>
      <c r="W23" s="483"/>
      <c r="X23" s="31"/>
    </row>
    <row r="24" spans="1:24" ht="17.100000000000001" customHeight="1">
      <c r="A24" s="31"/>
      <c r="B24" s="521">
        <f>N18+1</f>
        <v>20</v>
      </c>
      <c r="C24" s="522"/>
      <c r="D24" s="500">
        <f>B24+1</f>
        <v>21</v>
      </c>
      <c r="E24" s="501"/>
      <c r="F24" s="500">
        <f>D24+1</f>
        <v>22</v>
      </c>
      <c r="G24" s="501"/>
      <c r="H24" s="500">
        <f t="shared" ref="H24" si="11">F24+1</f>
        <v>23</v>
      </c>
      <c r="I24" s="501"/>
      <c r="J24" s="525">
        <f t="shared" ref="J24" si="12">H24+1</f>
        <v>24</v>
      </c>
      <c r="K24" s="522"/>
      <c r="L24" s="525">
        <f t="shared" ref="L24" si="13">J24+1</f>
        <v>25</v>
      </c>
      <c r="M24" s="522"/>
      <c r="N24" s="525">
        <f t="shared" ref="N24" si="14">L24+1</f>
        <v>26</v>
      </c>
      <c r="O24" s="521"/>
      <c r="P24" s="31"/>
      <c r="Q24" s="3"/>
      <c r="R24" s="563"/>
      <c r="S24" s="563"/>
      <c r="T24" s="94"/>
      <c r="U24" s="3"/>
      <c r="V24" s="563"/>
      <c r="W24" s="563"/>
      <c r="X24" s="31"/>
    </row>
    <row r="25" spans="1:24" ht="17.100000000000001" customHeight="1">
      <c r="A25" s="31"/>
      <c r="B25" s="43"/>
      <c r="C25" s="36"/>
      <c r="D25" s="494"/>
      <c r="E25" s="495"/>
      <c r="F25" s="35"/>
      <c r="G25" s="36"/>
      <c r="H25" s="494"/>
      <c r="I25" s="495"/>
      <c r="J25" s="494"/>
      <c r="K25" s="495"/>
      <c r="L25" s="95"/>
      <c r="M25" s="96"/>
      <c r="N25" s="37"/>
      <c r="O25" s="34"/>
      <c r="P25" s="31"/>
      <c r="Q25" s="3"/>
      <c r="R25" s="563"/>
      <c r="S25" s="563"/>
      <c r="T25" s="94"/>
      <c r="U25" s="3"/>
      <c r="V25" s="563"/>
      <c r="W25" s="563"/>
      <c r="X25" s="31"/>
    </row>
    <row r="26" spans="1:24" ht="17.100000000000001" customHeight="1">
      <c r="A26" s="31"/>
      <c r="B26" s="34"/>
      <c r="C26" s="34"/>
      <c r="D26" s="35"/>
      <c r="E26" s="36"/>
      <c r="F26" s="35"/>
      <c r="G26" s="36"/>
      <c r="H26" s="35"/>
      <c r="I26" s="36"/>
      <c r="J26" s="35"/>
      <c r="K26" s="36"/>
      <c r="L26" s="95"/>
      <c r="M26" s="96"/>
      <c r="N26" s="37"/>
      <c r="O26" s="34"/>
      <c r="P26" s="31"/>
      <c r="Q26" s="3"/>
      <c r="R26" s="564"/>
      <c r="S26" s="564"/>
      <c r="T26" s="94"/>
      <c r="U26" s="3"/>
      <c r="V26" s="564"/>
      <c r="W26" s="564"/>
      <c r="X26" s="31"/>
    </row>
    <row r="27" spans="1:24" ht="17.100000000000001" customHeight="1">
      <c r="A27" s="31"/>
      <c r="B27" s="34"/>
      <c r="C27" s="34"/>
      <c r="D27" s="35"/>
      <c r="E27" s="36"/>
      <c r="F27" s="35"/>
      <c r="G27" s="36"/>
      <c r="H27" s="95"/>
      <c r="I27" s="96"/>
      <c r="J27" s="95"/>
      <c r="K27" s="96"/>
      <c r="L27" s="95"/>
      <c r="M27" s="96"/>
      <c r="N27" s="37"/>
      <c r="O27" s="34"/>
      <c r="P27" s="31"/>
      <c r="Q27" s="3"/>
      <c r="R27" s="563"/>
      <c r="S27" s="563"/>
      <c r="T27" s="94"/>
      <c r="U27" s="3"/>
      <c r="V27" s="563"/>
      <c r="W27" s="563"/>
      <c r="X27" s="31"/>
    </row>
    <row r="28" spans="1:24" ht="17.100000000000001" customHeight="1">
      <c r="A28" s="31"/>
      <c r="B28" s="34"/>
      <c r="C28" s="34"/>
      <c r="D28" s="95"/>
      <c r="E28" s="96"/>
      <c r="F28" s="95"/>
      <c r="G28" s="96"/>
      <c r="H28" s="95"/>
      <c r="I28" s="96"/>
      <c r="J28" s="95"/>
      <c r="K28" s="96"/>
      <c r="L28" s="95"/>
      <c r="M28" s="96"/>
      <c r="N28" s="37"/>
      <c r="O28" s="34"/>
      <c r="P28" s="31"/>
      <c r="Q28" s="15"/>
      <c r="R28" s="15"/>
      <c r="S28" s="15"/>
      <c r="T28" s="94"/>
      <c r="U28" s="3"/>
      <c r="V28" s="570"/>
      <c r="W28" s="570"/>
      <c r="X28" s="31"/>
    </row>
    <row r="29" spans="1:24" ht="17.100000000000001" customHeight="1">
      <c r="A29" s="31"/>
      <c r="B29" s="40"/>
      <c r="C29" s="40"/>
      <c r="D29" s="41"/>
      <c r="E29" s="42"/>
      <c r="F29" s="41"/>
      <c r="G29" s="42"/>
      <c r="H29" s="41"/>
      <c r="I29" s="42"/>
      <c r="J29" s="41"/>
      <c r="K29" s="42"/>
      <c r="L29" s="41"/>
      <c r="M29" s="42"/>
      <c r="N29" s="41"/>
      <c r="O29" s="40"/>
      <c r="P29" s="31"/>
      <c r="Q29" s="94"/>
      <c r="R29" s="557"/>
      <c r="S29" s="557"/>
      <c r="T29" s="94"/>
      <c r="U29" s="13"/>
      <c r="V29" s="13"/>
      <c r="W29" s="13"/>
      <c r="X29" s="31"/>
    </row>
    <row r="30" spans="1:24" ht="17.100000000000001" customHeight="1">
      <c r="A30" s="31"/>
      <c r="B30" s="521">
        <f>N24+1</f>
        <v>27</v>
      </c>
      <c r="C30" s="522"/>
      <c r="D30" s="500">
        <f>B30+1</f>
        <v>28</v>
      </c>
      <c r="E30" s="501"/>
      <c r="F30" s="500">
        <f>D30+1</f>
        <v>29</v>
      </c>
      <c r="G30" s="501"/>
      <c r="H30" s="500">
        <f>F30+1</f>
        <v>30</v>
      </c>
      <c r="I30" s="501"/>
      <c r="J30" s="70"/>
      <c r="K30" s="71"/>
      <c r="L30" s="70"/>
      <c r="M30" s="71"/>
      <c r="N30" s="70"/>
      <c r="O30" s="67"/>
      <c r="P30" s="31"/>
      <c r="Q30" s="94"/>
      <c r="R30" s="483"/>
      <c r="S30" s="483"/>
      <c r="T30" s="94"/>
      <c r="U30" s="3"/>
      <c r="V30" s="557"/>
      <c r="W30" s="557"/>
      <c r="X30" s="31"/>
    </row>
    <row r="31" spans="1:24" ht="17.100000000000001" customHeight="1">
      <c r="A31" s="31"/>
      <c r="B31" s="34"/>
      <c r="C31" s="38"/>
      <c r="D31" s="494"/>
      <c r="E31" s="495"/>
      <c r="F31" s="494"/>
      <c r="G31" s="495"/>
      <c r="H31" s="37"/>
      <c r="I31" s="38"/>
      <c r="J31" s="37"/>
      <c r="K31" s="38"/>
      <c r="L31" s="65"/>
      <c r="M31" s="66"/>
      <c r="N31" s="65"/>
      <c r="O31" s="60"/>
      <c r="P31" s="31"/>
      <c r="Q31" s="94"/>
      <c r="R31" s="483"/>
      <c r="S31" s="483"/>
      <c r="T31" s="94"/>
      <c r="U31" s="94"/>
      <c r="V31" s="483"/>
      <c r="W31" s="483"/>
      <c r="X31" s="30"/>
    </row>
    <row r="32" spans="1:24" ht="17.100000000000001" customHeight="1">
      <c r="A32" s="31"/>
      <c r="B32" s="34"/>
      <c r="C32" s="34"/>
      <c r="D32" s="494"/>
      <c r="E32" s="495"/>
      <c r="F32" s="494"/>
      <c r="G32" s="495"/>
      <c r="H32" s="37"/>
      <c r="I32" s="38"/>
      <c r="J32" s="37"/>
      <c r="K32" s="38"/>
      <c r="L32" s="65"/>
      <c r="M32" s="66"/>
      <c r="N32" s="65"/>
      <c r="O32" s="60"/>
      <c r="P32" s="31"/>
      <c r="Q32" s="94"/>
      <c r="R32" s="483"/>
      <c r="S32" s="483"/>
      <c r="T32" s="94"/>
      <c r="U32" s="3"/>
      <c r="V32" s="563"/>
      <c r="W32" s="563"/>
      <c r="X32" s="31"/>
    </row>
    <row r="33" spans="1:24" ht="17.100000000000001" customHeight="1">
      <c r="A33" s="31"/>
      <c r="B33" s="34"/>
      <c r="C33" s="34"/>
      <c r="D33" s="494"/>
      <c r="E33" s="495"/>
      <c r="F33" s="95"/>
      <c r="G33" s="96"/>
      <c r="H33" s="37"/>
      <c r="I33" s="38"/>
      <c r="J33" s="37"/>
      <c r="K33" s="38"/>
      <c r="L33" s="65"/>
      <c r="M33" s="66"/>
      <c r="N33" s="65"/>
      <c r="O33" s="60"/>
      <c r="P33" s="31"/>
      <c r="Q33" s="94"/>
      <c r="R33" s="484"/>
      <c r="S33" s="484"/>
      <c r="T33" s="94"/>
      <c r="U33" s="3"/>
      <c r="V33" s="563"/>
      <c r="W33" s="563"/>
      <c r="X33" s="31"/>
    </row>
    <row r="34" spans="1:24" ht="17.100000000000001" customHeight="1">
      <c r="A34" s="31"/>
      <c r="B34" s="34"/>
      <c r="C34" s="34"/>
      <c r="D34" s="95"/>
      <c r="E34" s="96"/>
      <c r="F34" s="95"/>
      <c r="G34" s="96"/>
      <c r="H34" s="37"/>
      <c r="I34" s="38"/>
      <c r="J34" s="37"/>
      <c r="K34" s="38"/>
      <c r="L34" s="65"/>
      <c r="M34" s="66"/>
      <c r="N34" s="65"/>
      <c r="O34" s="60"/>
      <c r="P34" s="31"/>
      <c r="Q34" s="94"/>
      <c r="R34" s="484"/>
      <c r="S34" s="484"/>
      <c r="T34" s="94"/>
      <c r="U34" s="3"/>
      <c r="V34" s="564"/>
      <c r="W34" s="564"/>
      <c r="X34" s="31"/>
    </row>
    <row r="35" spans="1:24" ht="17.100000000000001" customHeight="1">
      <c r="A35" s="31"/>
      <c r="B35" s="40"/>
      <c r="C35" s="40"/>
      <c r="D35" s="41"/>
      <c r="E35" s="42"/>
      <c r="F35" s="41"/>
      <c r="G35" s="42"/>
      <c r="H35" s="41"/>
      <c r="I35" s="42"/>
      <c r="J35" s="41"/>
      <c r="K35" s="42"/>
      <c r="L35" s="58"/>
      <c r="M35" s="59"/>
      <c r="N35" s="58"/>
      <c r="O35" s="61"/>
      <c r="P35" s="31"/>
      <c r="Q35" s="94"/>
      <c r="R35" s="483"/>
      <c r="S35" s="483"/>
      <c r="T35" s="94"/>
      <c r="U35" s="3"/>
      <c r="V35" s="563"/>
      <c r="W35" s="563"/>
      <c r="X35" s="31"/>
    </row>
    <row r="36" spans="1:24" ht="17.100000000000001" customHeight="1">
      <c r="A36" s="31"/>
      <c r="B36" s="558"/>
      <c r="C36" s="567"/>
      <c r="D36" s="499"/>
      <c r="E36" s="498"/>
      <c r="F36" s="499"/>
      <c r="G36" s="498"/>
      <c r="H36" s="568"/>
      <c r="I36" s="569"/>
      <c r="J36" s="568"/>
      <c r="K36" s="569"/>
      <c r="L36" s="499"/>
      <c r="M36" s="498"/>
      <c r="N36" s="499"/>
      <c r="O36" s="497"/>
      <c r="P36" s="31"/>
      <c r="Q36" s="94"/>
      <c r="R36" s="476"/>
      <c r="S36" s="476"/>
      <c r="T36" s="94"/>
      <c r="U36" s="3"/>
      <c r="V36" s="570"/>
      <c r="W36" s="570"/>
      <c r="X36" s="31"/>
    </row>
    <row r="37" spans="1:24" ht="17.100000000000001" customHeight="1">
      <c r="A37" s="31"/>
      <c r="B37" s="34"/>
      <c r="C37" s="34"/>
      <c r="D37" s="37"/>
      <c r="E37" s="38"/>
      <c r="F37" s="37"/>
      <c r="G37" s="38"/>
      <c r="H37" s="37"/>
      <c r="I37" s="38"/>
      <c r="J37" s="37"/>
      <c r="K37" s="38"/>
      <c r="L37" s="37"/>
      <c r="M37" s="38"/>
      <c r="N37" s="37"/>
      <c r="O37" s="34"/>
      <c r="P37" s="31"/>
      <c r="Q37" s="94"/>
      <c r="R37" s="94"/>
      <c r="S37" s="94"/>
      <c r="T37" s="94"/>
      <c r="U37" s="13"/>
      <c r="V37" s="13"/>
      <c r="W37" s="13"/>
      <c r="X37" s="31"/>
    </row>
    <row r="38" spans="1:24" ht="17.100000000000001" customHeight="1">
      <c r="A38" s="31"/>
      <c r="B38" s="34"/>
      <c r="C38" s="34"/>
      <c r="D38" s="37"/>
      <c r="E38" s="38"/>
      <c r="F38" s="37"/>
      <c r="G38" s="38"/>
      <c r="H38" s="37"/>
      <c r="I38" s="38"/>
      <c r="J38" s="37"/>
      <c r="K38" s="38"/>
      <c r="L38" s="37"/>
      <c r="M38" s="38"/>
      <c r="N38" s="37"/>
      <c r="O38" s="34"/>
      <c r="P38" s="31"/>
      <c r="Q38" s="3"/>
      <c r="R38" s="489"/>
      <c r="S38" s="489"/>
      <c r="T38" s="94"/>
      <c r="U38" s="483"/>
      <c r="V38" s="155"/>
      <c r="W38" s="156"/>
      <c r="X38" s="31"/>
    </row>
    <row r="39" spans="1:24" ht="17.100000000000001" customHeight="1">
      <c r="A39" s="31"/>
      <c r="B39" s="46"/>
      <c r="C39" s="4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46"/>
      <c r="P39" s="31"/>
      <c r="Q39" s="94"/>
      <c r="R39" s="483"/>
      <c r="S39" s="483"/>
      <c r="T39" s="94"/>
      <c r="U39" s="483"/>
      <c r="V39" s="157"/>
      <c r="W39" s="156"/>
      <c r="X39" s="31"/>
    </row>
    <row r="40" spans="1:24" ht="17.100000000000001" customHeight="1">
      <c r="A40" s="31"/>
      <c r="B40" s="46"/>
      <c r="C40" s="4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46"/>
      <c r="P40" s="31"/>
      <c r="Q40" s="3"/>
      <c r="R40" s="563"/>
      <c r="S40" s="563"/>
      <c r="T40" s="94"/>
      <c r="U40" s="483"/>
      <c r="V40" s="19"/>
      <c r="W40" s="156"/>
      <c r="X40" s="31"/>
    </row>
    <row r="41" spans="1:24" ht="17.100000000000001" customHeight="1">
      <c r="A41" s="31"/>
      <c r="B41" s="40"/>
      <c r="C41" s="40"/>
      <c r="D41" s="41"/>
      <c r="E41" s="42"/>
      <c r="F41" s="41"/>
      <c r="G41" s="42"/>
      <c r="H41" s="41"/>
      <c r="I41" s="42"/>
      <c r="J41" s="41"/>
      <c r="K41" s="42"/>
      <c r="L41" s="41"/>
      <c r="M41" s="42"/>
      <c r="N41" s="41"/>
      <c r="O41" s="40"/>
      <c r="P41" s="31"/>
      <c r="Q41" s="3"/>
      <c r="R41" s="563"/>
      <c r="S41" s="563"/>
      <c r="T41" s="94"/>
      <c r="U41" s="483"/>
      <c r="V41" s="157"/>
      <c r="W41" s="156"/>
      <c r="X41" s="31"/>
    </row>
    <row r="42" spans="1:24">
      <c r="A42" s="31"/>
      <c r="P42" s="31"/>
      <c r="Q42" s="3"/>
      <c r="R42" s="564"/>
      <c r="S42" s="564"/>
      <c r="T42" s="94"/>
      <c r="U42" s="483"/>
      <c r="V42" s="19"/>
      <c r="W42" s="156"/>
      <c r="X42" s="31"/>
    </row>
    <row r="43" spans="1:24" ht="17.25"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53"/>
      <c r="Q43" s="3"/>
      <c r="R43" s="564"/>
      <c r="S43" s="564"/>
      <c r="T43" s="13"/>
      <c r="U43" s="483"/>
      <c r="V43" s="19"/>
      <c r="W43" s="156"/>
    </row>
    <row r="44" spans="1:24" ht="17.25"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53"/>
      <c r="Q44" s="3"/>
      <c r="R44" s="563"/>
      <c r="S44" s="563"/>
      <c r="T44" s="13"/>
      <c r="U44" s="483"/>
      <c r="V44" s="19"/>
      <c r="W44" s="156"/>
    </row>
    <row r="45" spans="1:24" ht="17.25">
      <c r="B45" s="553"/>
      <c r="C45" s="553"/>
      <c r="D45" s="554"/>
      <c r="E45" s="553"/>
      <c r="F45" s="554"/>
      <c r="G45" s="553"/>
      <c r="H45" s="554"/>
      <c r="I45" s="553"/>
      <c r="J45" s="554"/>
      <c r="K45" s="553"/>
      <c r="L45" s="554"/>
      <c r="M45" s="553"/>
      <c r="N45" s="554"/>
      <c r="O45" s="553"/>
      <c r="Q45" s="94"/>
      <c r="R45" s="555"/>
      <c r="S45" s="476"/>
      <c r="T45" s="13"/>
      <c r="U45" s="483"/>
      <c r="V45" s="19"/>
      <c r="W45" s="156"/>
    </row>
    <row r="46" spans="1:24" ht="17.25"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Q46" s="13"/>
      <c r="R46" s="13"/>
      <c r="S46" s="13"/>
      <c r="T46" s="13"/>
      <c r="U46" s="483"/>
      <c r="V46" s="19"/>
      <c r="W46" s="156"/>
    </row>
    <row r="47" spans="1:24" ht="17.25"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53"/>
      <c r="Q47" s="13"/>
      <c r="R47" s="13"/>
      <c r="S47" s="13"/>
      <c r="T47" s="13"/>
      <c r="U47" s="482"/>
      <c r="V47" s="482"/>
      <c r="W47" s="482"/>
    </row>
    <row r="48" spans="1:24" ht="17.25"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53"/>
      <c r="Q48" s="13"/>
      <c r="R48" s="13"/>
      <c r="S48" s="13"/>
      <c r="T48" s="13"/>
      <c r="U48" s="94"/>
      <c r="V48" s="571"/>
      <c r="W48" s="571"/>
    </row>
    <row r="49" spans="2:23" ht="17.25">
      <c r="B49" s="553"/>
      <c r="C49" s="553"/>
      <c r="D49" s="554"/>
      <c r="E49" s="553"/>
      <c r="F49" s="554"/>
      <c r="G49" s="553"/>
      <c r="H49" s="554"/>
      <c r="I49" s="553"/>
      <c r="J49" s="554"/>
      <c r="K49" s="553"/>
      <c r="L49" s="554"/>
      <c r="M49" s="553"/>
      <c r="N49" s="554"/>
      <c r="O49" s="553"/>
      <c r="Q49" s="13"/>
      <c r="R49" s="13"/>
      <c r="S49" s="13"/>
      <c r="T49" s="13"/>
      <c r="U49" s="13"/>
      <c r="V49" s="13"/>
      <c r="W49" s="13"/>
    </row>
  </sheetData>
  <mergeCells count="170">
    <mergeCell ref="B49:C49"/>
    <mergeCell ref="D49:E49"/>
    <mergeCell ref="F49:G49"/>
    <mergeCell ref="H49:I49"/>
    <mergeCell ref="J49:K49"/>
    <mergeCell ref="L49:M49"/>
    <mergeCell ref="N49:O49"/>
    <mergeCell ref="B36:C36"/>
    <mergeCell ref="V48:W48"/>
    <mergeCell ref="B45:C45"/>
    <mergeCell ref="D45:E45"/>
    <mergeCell ref="F45:G45"/>
    <mergeCell ref="H45:I45"/>
    <mergeCell ref="J45:K45"/>
    <mergeCell ref="L45:M45"/>
    <mergeCell ref="N45:O45"/>
    <mergeCell ref="B47:C47"/>
    <mergeCell ref="D47:E47"/>
    <mergeCell ref="F47:G47"/>
    <mergeCell ref="H47:I47"/>
    <mergeCell ref="J47:K47"/>
    <mergeCell ref="L47:M47"/>
    <mergeCell ref="N47:O47"/>
    <mergeCell ref="B48:C48"/>
    <mergeCell ref="D48:E48"/>
    <mergeCell ref="F48:G48"/>
    <mergeCell ref="H48:I48"/>
    <mergeCell ref="J48:K48"/>
    <mergeCell ref="L48:M48"/>
    <mergeCell ref="N48:O48"/>
    <mergeCell ref="U47:W47"/>
    <mergeCell ref="B43:C43"/>
    <mergeCell ref="D43:E43"/>
    <mergeCell ref="F43:G43"/>
    <mergeCell ref="H43:I43"/>
    <mergeCell ref="J43:K43"/>
    <mergeCell ref="L43:M43"/>
    <mergeCell ref="N43:O43"/>
    <mergeCell ref="B44:C44"/>
    <mergeCell ref="D44:E44"/>
    <mergeCell ref="F44:G44"/>
    <mergeCell ref="H44:I44"/>
    <mergeCell ref="J44:K44"/>
    <mergeCell ref="L44:M44"/>
    <mergeCell ref="N44:O44"/>
    <mergeCell ref="U38:U46"/>
    <mergeCell ref="R44:S44"/>
    <mergeCell ref="R43:S43"/>
    <mergeCell ref="D13:E13"/>
    <mergeCell ref="D14:E14"/>
    <mergeCell ref="F13:G13"/>
    <mergeCell ref="F14:G14"/>
    <mergeCell ref="N18:O18"/>
    <mergeCell ref="N24:O24"/>
    <mergeCell ref="J20:K20"/>
    <mergeCell ref="J21:K21"/>
    <mergeCell ref="N19:O19"/>
    <mergeCell ref="J13:K13"/>
    <mergeCell ref="R45:S45"/>
    <mergeCell ref="V6:W6"/>
    <mergeCell ref="V7:W7"/>
    <mergeCell ref="R20:S20"/>
    <mergeCell ref="D33:E33"/>
    <mergeCell ref="D31:E31"/>
    <mergeCell ref="F31:G31"/>
    <mergeCell ref="V22:W22"/>
    <mergeCell ref="V23:W23"/>
    <mergeCell ref="V24:W24"/>
    <mergeCell ref="V25:W25"/>
    <mergeCell ref="V26:W26"/>
    <mergeCell ref="V27:W27"/>
    <mergeCell ref="J36:K36"/>
    <mergeCell ref="N36:O36"/>
    <mergeCell ref="L36:M36"/>
    <mergeCell ref="V30:W30"/>
    <mergeCell ref="V31:W31"/>
    <mergeCell ref="V32:W32"/>
    <mergeCell ref="V33:W33"/>
    <mergeCell ref="V34:W34"/>
    <mergeCell ref="V35:W35"/>
    <mergeCell ref="V36:W36"/>
    <mergeCell ref="V17:W17"/>
    <mergeCell ref="V8:W8"/>
    <mergeCell ref="V9:W9"/>
    <mergeCell ref="V10:W10"/>
    <mergeCell ref="V11:W11"/>
    <mergeCell ref="F32:G32"/>
    <mergeCell ref="V13:W13"/>
    <mergeCell ref="V14:W14"/>
    <mergeCell ref="V15:W15"/>
    <mergeCell ref="V16:W16"/>
    <mergeCell ref="R31:S31"/>
    <mergeCell ref="R32:S32"/>
    <mergeCell ref="R23:S23"/>
    <mergeCell ref="R24:S24"/>
    <mergeCell ref="R25:S25"/>
    <mergeCell ref="R26:S26"/>
    <mergeCell ref="R27:S27"/>
    <mergeCell ref="R19:S19"/>
    <mergeCell ref="V28:W28"/>
    <mergeCell ref="V18:W18"/>
    <mergeCell ref="V19:W19"/>
    <mergeCell ref="V20:W20"/>
    <mergeCell ref="H25:I25"/>
    <mergeCell ref="J25:K25"/>
    <mergeCell ref="Q6:Q16"/>
    <mergeCell ref="B30:C30"/>
    <mergeCell ref="D30:E30"/>
    <mergeCell ref="B18:C18"/>
    <mergeCell ref="B24:C24"/>
    <mergeCell ref="L24:M24"/>
    <mergeCell ref="D32:E32"/>
    <mergeCell ref="D36:E36"/>
    <mergeCell ref="F36:G36"/>
    <mergeCell ref="H36:I36"/>
    <mergeCell ref="D25:E25"/>
    <mergeCell ref="F30:G30"/>
    <mergeCell ref="D18:E18"/>
    <mergeCell ref="F18:G18"/>
    <mergeCell ref="H18:I18"/>
    <mergeCell ref="L18:M18"/>
    <mergeCell ref="D24:E24"/>
    <mergeCell ref="F24:G24"/>
    <mergeCell ref="H24:I24"/>
    <mergeCell ref="J24:K24"/>
    <mergeCell ref="J18:K18"/>
    <mergeCell ref="D19:E19"/>
    <mergeCell ref="F19:G19"/>
    <mergeCell ref="H19:I19"/>
    <mergeCell ref="J19:K19"/>
    <mergeCell ref="Q2:S2"/>
    <mergeCell ref="Q3:S4"/>
    <mergeCell ref="B4:O4"/>
    <mergeCell ref="B5:C5"/>
    <mergeCell ref="D5:E5"/>
    <mergeCell ref="F5:G5"/>
    <mergeCell ref="H5:I5"/>
    <mergeCell ref="J5:K5"/>
    <mergeCell ref="L5:M5"/>
    <mergeCell ref="N5:O5"/>
    <mergeCell ref="B2:O3"/>
    <mergeCell ref="L6:M6"/>
    <mergeCell ref="N6:O6"/>
    <mergeCell ref="B12:C12"/>
    <mergeCell ref="D12:E12"/>
    <mergeCell ref="F12:G12"/>
    <mergeCell ref="H12:I12"/>
    <mergeCell ref="J12:K12"/>
    <mergeCell ref="N12:O12"/>
    <mergeCell ref="L12:M12"/>
    <mergeCell ref="B6:C6"/>
    <mergeCell ref="D6:E6"/>
    <mergeCell ref="F6:G6"/>
    <mergeCell ref="H6:I6"/>
    <mergeCell ref="J6:K6"/>
    <mergeCell ref="H30:I30"/>
    <mergeCell ref="R41:S41"/>
    <mergeCell ref="R42:S42"/>
    <mergeCell ref="R22:S22"/>
    <mergeCell ref="R17:S17"/>
    <mergeCell ref="R18:S18"/>
    <mergeCell ref="R34:S34"/>
    <mergeCell ref="R35:S35"/>
    <mergeCell ref="R36:S36"/>
    <mergeCell ref="R29:S29"/>
    <mergeCell ref="R30:S30"/>
    <mergeCell ref="R38:S38"/>
    <mergeCell ref="R39:S39"/>
    <mergeCell ref="R40:S40"/>
    <mergeCell ref="R33:S33"/>
  </mergeCells>
  <phoneticPr fontId="1" type="noConversion"/>
  <pageMargins left="0.25" right="0.25" top="0.75" bottom="0.75" header="0.3" footer="0.3"/>
  <pageSetup paperSize="9" scale="6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8"/>
  <sheetViews>
    <sheetView view="pageBreakPreview" zoomScale="70" zoomScaleNormal="85" zoomScaleSheetLayoutView="70" workbookViewId="0">
      <selection activeCell="Q6" sqref="Q6:S17"/>
    </sheetView>
  </sheetViews>
  <sheetFormatPr defaultColWidth="9" defaultRowHeight="16.5"/>
  <cols>
    <col min="1" max="1" width="5.625" style="1" customWidth="1"/>
    <col min="2" max="6" width="9" style="1"/>
    <col min="7" max="7" width="9" style="1" customWidth="1"/>
    <col min="8" max="8" width="9" style="1"/>
    <col min="9" max="9" width="9" style="1" customWidth="1"/>
    <col min="10" max="15" width="9" style="1"/>
    <col min="16" max="16" width="5.625" style="1" customWidth="1"/>
    <col min="17" max="19" width="10.625" style="1" customWidth="1"/>
    <col min="20" max="20" width="5.625" style="1" customWidth="1"/>
    <col min="21" max="23" width="10.625" style="1" customWidth="1"/>
    <col min="24" max="24" width="5.625" style="1" customWidth="1"/>
    <col min="25" max="27" width="10.625" style="1" customWidth="1"/>
    <col min="28" max="28" width="5.625" style="1" customWidth="1"/>
    <col min="29" max="16384" width="9" style="1"/>
  </cols>
  <sheetData>
    <row r="1" spans="1:27" ht="17.25" thickBo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7" ht="16.5" customHeight="1">
      <c r="A2" s="31"/>
      <c r="B2" s="504" t="s">
        <v>8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31"/>
      <c r="Q2" s="506" t="s">
        <v>0</v>
      </c>
      <c r="R2" s="507"/>
      <c r="S2" s="508"/>
      <c r="T2" s="31"/>
      <c r="U2" s="31"/>
      <c r="V2" s="31"/>
      <c r="W2" s="31"/>
      <c r="X2" s="31"/>
    </row>
    <row r="3" spans="1:27" ht="16.5" customHeight="1" thickBot="1">
      <c r="A3" s="31"/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31"/>
      <c r="Q3" s="509">
        <f>COUNTA($B$7:$O$11,$B$13:$O$17,$B$19:$O$23,$B$25:$O$29,$B$31:$O$35)*88000</f>
        <v>0</v>
      </c>
      <c r="R3" s="510"/>
      <c r="S3" s="511"/>
      <c r="T3" s="31"/>
      <c r="U3" s="31"/>
      <c r="V3" s="31"/>
      <c r="W3" s="31"/>
      <c r="X3" s="31"/>
    </row>
    <row r="4" spans="1:27" ht="21.75" customHeight="1" thickBot="1">
      <c r="A4" s="31"/>
      <c r="B4" s="515" t="s">
        <v>22</v>
      </c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515"/>
      <c r="P4" s="31"/>
      <c r="Q4" s="512"/>
      <c r="R4" s="513"/>
      <c r="S4" s="514"/>
      <c r="T4" s="31"/>
      <c r="U4" s="31"/>
      <c r="V4" s="31"/>
      <c r="W4" s="31"/>
      <c r="X4" s="31"/>
    </row>
    <row r="5" spans="1:27" ht="30" customHeight="1" thickBot="1">
      <c r="A5" s="31"/>
      <c r="B5" s="516" t="s">
        <v>4</v>
      </c>
      <c r="C5" s="517"/>
      <c r="D5" s="518" t="s">
        <v>1</v>
      </c>
      <c r="E5" s="518"/>
      <c r="F5" s="518" t="s">
        <v>5</v>
      </c>
      <c r="G5" s="518"/>
      <c r="H5" s="518" t="s">
        <v>6</v>
      </c>
      <c r="I5" s="518"/>
      <c r="J5" s="518" t="s">
        <v>2</v>
      </c>
      <c r="K5" s="518"/>
      <c r="L5" s="518" t="s">
        <v>3</v>
      </c>
      <c r="M5" s="518"/>
      <c r="N5" s="519" t="s">
        <v>7</v>
      </c>
      <c r="O5" s="520"/>
      <c r="P5" s="31"/>
      <c r="Q5" s="32"/>
      <c r="R5" s="32"/>
      <c r="S5" s="32"/>
      <c r="T5" s="31"/>
      <c r="U5" s="31"/>
      <c r="V5" s="31"/>
      <c r="W5" s="31"/>
      <c r="X5" s="31"/>
    </row>
    <row r="6" spans="1:27" ht="17.100000000000001" customHeight="1">
      <c r="A6" s="31"/>
      <c r="B6" s="558"/>
      <c r="C6" s="567"/>
      <c r="D6" s="499"/>
      <c r="E6" s="498"/>
      <c r="F6" s="499"/>
      <c r="G6" s="498"/>
      <c r="H6" s="499"/>
      <c r="I6" s="498"/>
      <c r="J6" s="500">
        <f t="shared" ref="J6" si="0">H6+1</f>
        <v>1</v>
      </c>
      <c r="K6" s="501"/>
      <c r="L6" s="523">
        <f t="shared" ref="L6" si="1">J6+1</f>
        <v>2</v>
      </c>
      <c r="M6" s="524"/>
      <c r="N6" s="502">
        <f t="shared" ref="N6" si="2">L6+1</f>
        <v>3</v>
      </c>
      <c r="O6" s="503"/>
      <c r="P6" s="31"/>
      <c r="Q6" s="485" t="s">
        <v>9</v>
      </c>
      <c r="R6" s="123"/>
      <c r="S6" s="52"/>
      <c r="T6" s="94"/>
      <c r="U6" s="94"/>
      <c r="V6" s="489"/>
      <c r="W6" s="489"/>
      <c r="X6" s="73"/>
      <c r="Y6" s="3"/>
      <c r="Z6" s="12"/>
      <c r="AA6" s="12"/>
    </row>
    <row r="7" spans="1:27" ht="17.100000000000001" customHeight="1">
      <c r="A7" s="31"/>
      <c r="B7" s="34"/>
      <c r="C7" s="34"/>
      <c r="D7" s="37"/>
      <c r="E7" s="38"/>
      <c r="F7" s="74"/>
      <c r="G7" s="75"/>
      <c r="H7" s="494"/>
      <c r="I7" s="495"/>
      <c r="J7" s="74"/>
      <c r="K7" s="75"/>
      <c r="L7" s="39"/>
      <c r="M7" s="38"/>
      <c r="N7" s="37"/>
      <c r="O7" s="34"/>
      <c r="P7" s="31"/>
      <c r="Q7" s="486"/>
      <c r="R7" s="124"/>
      <c r="S7" s="53"/>
      <c r="T7" s="94"/>
      <c r="U7" s="94"/>
      <c r="V7" s="483"/>
      <c r="W7" s="483"/>
      <c r="X7" s="73"/>
      <c r="Y7" s="14"/>
      <c r="Z7" s="15"/>
      <c r="AA7" s="15"/>
    </row>
    <row r="8" spans="1:27" ht="17.100000000000001" customHeight="1">
      <c r="A8" s="31"/>
      <c r="B8" s="34"/>
      <c r="C8" s="34"/>
      <c r="D8" s="37"/>
      <c r="E8" s="38"/>
      <c r="F8" s="74"/>
      <c r="G8" s="75"/>
      <c r="H8" s="494"/>
      <c r="I8" s="495"/>
      <c r="J8" s="74"/>
      <c r="K8" s="75"/>
      <c r="L8" s="39"/>
      <c r="M8" s="38"/>
      <c r="N8" s="37"/>
      <c r="O8" s="34"/>
      <c r="P8" s="31"/>
      <c r="Q8" s="486"/>
      <c r="R8" s="144"/>
      <c r="S8" s="53"/>
      <c r="T8" s="94"/>
      <c r="U8" s="94"/>
      <c r="V8" s="483"/>
      <c r="W8" s="483"/>
      <c r="X8" s="73"/>
      <c r="Y8" s="14"/>
      <c r="Z8" s="15"/>
      <c r="AA8" s="15"/>
    </row>
    <row r="9" spans="1:27" ht="17.100000000000001" customHeight="1">
      <c r="A9" s="31"/>
      <c r="B9" s="34"/>
      <c r="C9" s="34"/>
      <c r="D9" s="37"/>
      <c r="E9" s="38"/>
      <c r="F9" s="37"/>
      <c r="G9" s="38"/>
      <c r="H9" s="37"/>
      <c r="I9" s="38"/>
      <c r="J9" s="37"/>
      <c r="K9" s="38"/>
      <c r="L9" s="39"/>
      <c r="M9" s="38"/>
      <c r="N9" s="37"/>
      <c r="O9" s="34"/>
      <c r="P9" s="31"/>
      <c r="Q9" s="486"/>
      <c r="R9" s="145"/>
      <c r="S9" s="54"/>
      <c r="T9" s="94"/>
      <c r="U9" s="94"/>
      <c r="V9" s="483"/>
      <c r="W9" s="483"/>
      <c r="X9" s="73"/>
      <c r="Y9" s="3"/>
      <c r="Z9" s="4"/>
      <c r="AA9" s="4"/>
    </row>
    <row r="10" spans="1:27" ht="17.100000000000001" customHeight="1">
      <c r="A10" s="31"/>
      <c r="B10" s="34"/>
      <c r="C10" s="34"/>
      <c r="D10" s="37"/>
      <c r="E10" s="38"/>
      <c r="F10" s="37"/>
      <c r="G10" s="38"/>
      <c r="H10" s="37"/>
      <c r="I10" s="38"/>
      <c r="J10" s="37"/>
      <c r="K10" s="38"/>
      <c r="L10" s="37"/>
      <c r="M10" s="38"/>
      <c r="N10" s="37"/>
      <c r="O10" s="34"/>
      <c r="P10" s="31"/>
      <c r="Q10" s="486"/>
      <c r="R10" s="145"/>
      <c r="S10" s="54"/>
      <c r="T10" s="94"/>
      <c r="U10" s="94"/>
      <c r="V10" s="564"/>
      <c r="W10" s="564"/>
      <c r="X10" s="73"/>
      <c r="Y10" s="3"/>
      <c r="Z10" s="4"/>
    </row>
    <row r="11" spans="1:27" ht="17.100000000000001" customHeight="1">
      <c r="A11" s="31"/>
      <c r="B11" s="34"/>
      <c r="C11" s="34"/>
      <c r="D11" s="37"/>
      <c r="E11" s="38"/>
      <c r="F11" s="37"/>
      <c r="G11" s="38"/>
      <c r="H11" s="37"/>
      <c r="I11" s="38"/>
      <c r="J11" s="37"/>
      <c r="K11" s="38"/>
      <c r="L11" s="37"/>
      <c r="M11" s="38"/>
      <c r="N11" s="37"/>
      <c r="O11" s="34"/>
      <c r="P11" s="31"/>
      <c r="Q11" s="486"/>
      <c r="R11" s="145"/>
      <c r="S11" s="54"/>
      <c r="T11" s="94"/>
      <c r="U11" s="94"/>
      <c r="V11" s="564"/>
      <c r="W11" s="564"/>
      <c r="X11" s="73"/>
      <c r="Y11" s="4"/>
      <c r="Z11" s="5"/>
    </row>
    <row r="12" spans="1:27" ht="17.100000000000001" customHeight="1">
      <c r="A12" s="31"/>
      <c r="B12" s="521">
        <f>N6+1</f>
        <v>4</v>
      </c>
      <c r="C12" s="522"/>
      <c r="D12" s="525">
        <f>B12+1</f>
        <v>5</v>
      </c>
      <c r="E12" s="522"/>
      <c r="F12" s="523">
        <f>D12+1</f>
        <v>6</v>
      </c>
      <c r="G12" s="524"/>
      <c r="H12" s="523">
        <f t="shared" ref="H12" si="3">F12+1</f>
        <v>7</v>
      </c>
      <c r="I12" s="524"/>
      <c r="J12" s="523">
        <f t="shared" ref="J12" si="4">H12+1</f>
        <v>8</v>
      </c>
      <c r="K12" s="524"/>
      <c r="L12" s="525">
        <f t="shared" ref="L12" si="5">J12+1</f>
        <v>9</v>
      </c>
      <c r="M12" s="522"/>
      <c r="N12" s="502">
        <f t="shared" ref="N12" si="6">L12+1</f>
        <v>10</v>
      </c>
      <c r="O12" s="503"/>
      <c r="P12" s="31"/>
      <c r="Q12" s="486"/>
      <c r="R12" s="147"/>
      <c r="S12" s="54"/>
      <c r="T12" s="94"/>
      <c r="U12" s="94"/>
      <c r="V12" s="483"/>
      <c r="W12" s="483"/>
      <c r="X12" s="73"/>
      <c r="Y12" s="4"/>
      <c r="Z12" s="5"/>
    </row>
    <row r="13" spans="1:27" ht="17.100000000000001" customHeight="1">
      <c r="A13" s="31"/>
      <c r="B13" s="34"/>
      <c r="C13" s="34"/>
      <c r="D13" s="35"/>
      <c r="E13" s="36"/>
      <c r="F13" s="35"/>
      <c r="G13" s="36"/>
      <c r="H13" s="35"/>
      <c r="I13" s="36"/>
      <c r="J13" s="35"/>
      <c r="K13" s="36"/>
      <c r="L13" s="37"/>
      <c r="M13" s="38"/>
      <c r="N13" s="37"/>
      <c r="O13" s="34"/>
      <c r="P13" s="31"/>
      <c r="Q13" s="486"/>
      <c r="R13" s="144"/>
      <c r="S13" s="53"/>
      <c r="T13" s="94"/>
      <c r="U13" s="94"/>
      <c r="V13" s="555"/>
      <c r="W13" s="476"/>
      <c r="X13" s="73"/>
      <c r="Y13" s="3"/>
      <c r="Z13" s="4"/>
    </row>
    <row r="14" spans="1:27" ht="17.100000000000001" customHeight="1">
      <c r="A14" s="31"/>
      <c r="B14" s="34"/>
      <c r="C14" s="34"/>
      <c r="D14" s="35"/>
      <c r="E14" s="36"/>
      <c r="F14" s="35"/>
      <c r="G14" s="36"/>
      <c r="H14" s="35"/>
      <c r="I14" s="36"/>
      <c r="J14" s="35"/>
      <c r="K14" s="36"/>
      <c r="L14" s="37"/>
      <c r="M14" s="38"/>
      <c r="N14" s="37"/>
      <c r="O14" s="34"/>
      <c r="P14" s="31"/>
      <c r="Q14" s="486"/>
      <c r="R14" s="144"/>
      <c r="S14" s="53"/>
      <c r="T14" s="94"/>
      <c r="U14" s="15"/>
      <c r="V14" s="50"/>
      <c r="W14" s="50"/>
      <c r="X14" s="73"/>
      <c r="Y14" s="3"/>
      <c r="Z14" s="16"/>
    </row>
    <row r="15" spans="1:27" ht="17.100000000000001" customHeight="1">
      <c r="A15" s="31"/>
      <c r="B15" s="34"/>
      <c r="C15" s="34"/>
      <c r="D15" s="35"/>
      <c r="E15" s="36"/>
      <c r="F15" s="35"/>
      <c r="G15" s="36"/>
      <c r="H15" s="35"/>
      <c r="I15" s="36"/>
      <c r="J15" s="35"/>
      <c r="K15" s="36"/>
      <c r="L15" s="37"/>
      <c r="M15" s="38"/>
      <c r="N15" s="37"/>
      <c r="O15" s="34"/>
      <c r="P15" s="31"/>
      <c r="Q15" s="486"/>
      <c r="R15" s="144"/>
      <c r="S15" s="53"/>
      <c r="T15" s="94"/>
      <c r="U15" s="94"/>
      <c r="V15" s="483"/>
      <c r="W15" s="483"/>
      <c r="X15" s="73"/>
      <c r="Y15" s="13"/>
      <c r="Z15" s="13"/>
    </row>
    <row r="16" spans="1:27" ht="17.100000000000001" customHeight="1" thickBot="1">
      <c r="A16" s="31"/>
      <c r="B16" s="34"/>
      <c r="C16" s="34"/>
      <c r="D16" s="35"/>
      <c r="E16" s="36"/>
      <c r="F16" s="35"/>
      <c r="G16" s="36"/>
      <c r="H16" s="74"/>
      <c r="I16" s="75"/>
      <c r="J16" s="74"/>
      <c r="K16" s="75"/>
      <c r="L16" s="37"/>
      <c r="M16" s="38"/>
      <c r="N16" s="37"/>
      <c r="O16" s="34"/>
      <c r="P16" s="31"/>
      <c r="Q16" s="530"/>
      <c r="R16" s="148"/>
      <c r="S16" s="149"/>
      <c r="T16" s="94"/>
      <c r="U16" s="94"/>
      <c r="V16" s="483"/>
      <c r="W16" s="483"/>
      <c r="X16" s="73"/>
      <c r="Y16" s="3"/>
      <c r="Z16" s="12"/>
    </row>
    <row r="17" spans="1:27" ht="17.100000000000001" customHeight="1" thickBot="1">
      <c r="A17" s="31"/>
      <c r="B17" s="40"/>
      <c r="C17" s="40"/>
      <c r="D17" s="58"/>
      <c r="E17" s="59"/>
      <c r="F17" s="528"/>
      <c r="G17" s="529"/>
      <c r="H17" s="58"/>
      <c r="I17" s="59"/>
      <c r="J17" s="58"/>
      <c r="K17" s="59"/>
      <c r="L17" s="41"/>
      <c r="M17" s="42"/>
      <c r="N17" s="41"/>
      <c r="O17" s="40"/>
      <c r="P17" s="31"/>
      <c r="Q17" s="55" t="s">
        <v>10</v>
      </c>
      <c r="R17" s="534">
        <f>SUM(S6:S16)*88000</f>
        <v>0</v>
      </c>
      <c r="S17" s="535"/>
      <c r="T17" s="94"/>
      <c r="U17" s="94"/>
      <c r="V17" s="483"/>
      <c r="W17" s="483"/>
      <c r="X17" s="73"/>
      <c r="Y17" s="14"/>
      <c r="Z17" s="14"/>
    </row>
    <row r="18" spans="1:27" ht="17.100000000000001" customHeight="1">
      <c r="A18" s="31"/>
      <c r="B18" s="521">
        <f>N12+1</f>
        <v>11</v>
      </c>
      <c r="C18" s="522"/>
      <c r="D18" s="500">
        <f>B18+1</f>
        <v>12</v>
      </c>
      <c r="E18" s="501"/>
      <c r="F18" s="500">
        <f>D18+1</f>
        <v>13</v>
      </c>
      <c r="G18" s="501"/>
      <c r="H18" s="500">
        <f t="shared" ref="H18" si="7">F18+1</f>
        <v>14</v>
      </c>
      <c r="I18" s="501"/>
      <c r="J18" s="500">
        <f t="shared" ref="J18" si="8">H18+1</f>
        <v>15</v>
      </c>
      <c r="K18" s="501"/>
      <c r="L18" s="500">
        <f t="shared" ref="L18" si="9">J18+1</f>
        <v>16</v>
      </c>
      <c r="M18" s="501"/>
      <c r="N18" s="502">
        <f t="shared" ref="N18" si="10">L18+1</f>
        <v>17</v>
      </c>
      <c r="O18" s="503"/>
      <c r="P18" s="31"/>
      <c r="Q18" s="3"/>
      <c r="R18" s="564"/>
      <c r="S18" s="564"/>
      <c r="T18" s="94"/>
      <c r="U18" s="94"/>
      <c r="V18" s="483"/>
      <c r="W18" s="483"/>
      <c r="X18" s="73"/>
      <c r="Y18" s="3"/>
      <c r="Z18" s="4"/>
      <c r="AA18" s="4"/>
    </row>
    <row r="19" spans="1:27" ht="17.100000000000001" customHeight="1">
      <c r="A19" s="31"/>
      <c r="B19" s="34"/>
      <c r="C19" s="38"/>
      <c r="D19" s="494"/>
      <c r="E19" s="495"/>
      <c r="F19" s="35"/>
      <c r="G19" s="36"/>
      <c r="H19" s="494"/>
      <c r="I19" s="495"/>
      <c r="J19" s="494"/>
      <c r="K19" s="495"/>
      <c r="L19" s="35"/>
      <c r="M19" s="43"/>
      <c r="N19" s="35"/>
      <c r="O19" s="43"/>
      <c r="P19" s="31"/>
      <c r="Q19" s="3"/>
      <c r="R19" s="563"/>
      <c r="S19" s="563"/>
      <c r="T19" s="94"/>
      <c r="U19" s="94"/>
      <c r="V19" s="564"/>
      <c r="W19" s="564"/>
      <c r="X19" s="73"/>
      <c r="Y19" s="3"/>
      <c r="Z19" s="4"/>
      <c r="AA19" s="4"/>
    </row>
    <row r="20" spans="1:27" ht="17.100000000000001" customHeight="1">
      <c r="A20" s="31"/>
      <c r="B20" s="34"/>
      <c r="C20" s="34"/>
      <c r="D20" s="35"/>
      <c r="E20" s="36"/>
      <c r="F20" s="35"/>
      <c r="G20" s="36"/>
      <c r="H20" s="494"/>
      <c r="I20" s="495"/>
      <c r="J20" s="494"/>
      <c r="K20" s="495"/>
      <c r="L20" s="76"/>
      <c r="M20" s="60"/>
      <c r="N20" s="74"/>
      <c r="O20" s="60"/>
      <c r="P20" s="31"/>
      <c r="Q20" s="3"/>
      <c r="R20" s="570"/>
      <c r="S20" s="570"/>
      <c r="T20" s="94"/>
      <c r="U20" s="94"/>
      <c r="V20" s="564"/>
      <c r="W20" s="564"/>
      <c r="X20" s="73"/>
      <c r="Y20" s="3"/>
      <c r="Z20" s="5"/>
      <c r="AA20" s="5"/>
    </row>
    <row r="21" spans="1:27" ht="17.100000000000001" customHeight="1">
      <c r="A21" s="31"/>
      <c r="B21" s="34"/>
      <c r="C21" s="34"/>
      <c r="D21" s="35"/>
      <c r="E21" s="36"/>
      <c r="F21" s="35"/>
      <c r="G21" s="36"/>
      <c r="H21" s="35"/>
      <c r="I21" s="36"/>
      <c r="J21" s="494"/>
      <c r="K21" s="495"/>
      <c r="L21" s="74"/>
      <c r="M21" s="75"/>
      <c r="N21" s="74"/>
      <c r="O21" s="60"/>
      <c r="P21" s="31"/>
      <c r="Q21" s="15"/>
      <c r="R21" s="50"/>
      <c r="S21" s="50"/>
      <c r="T21" s="94"/>
      <c r="U21" s="94"/>
      <c r="V21" s="483"/>
      <c r="W21" s="483"/>
      <c r="X21" s="73"/>
      <c r="Y21" s="3"/>
      <c r="Z21" s="4"/>
      <c r="AA21" s="4"/>
    </row>
    <row r="22" spans="1:27" ht="17.100000000000001" customHeight="1">
      <c r="A22" s="31"/>
      <c r="B22" s="34"/>
      <c r="C22" s="34"/>
      <c r="D22" s="95"/>
      <c r="E22" s="96"/>
      <c r="F22" s="35"/>
      <c r="G22" s="36"/>
      <c r="H22" s="35"/>
      <c r="I22" s="36"/>
      <c r="J22" s="95"/>
      <c r="K22" s="96"/>
      <c r="L22" s="37"/>
      <c r="M22" s="38"/>
      <c r="N22" s="37"/>
      <c r="O22" s="34"/>
      <c r="P22" s="31"/>
      <c r="Q22" s="3"/>
      <c r="R22" s="489"/>
      <c r="S22" s="489"/>
      <c r="T22" s="94"/>
      <c r="U22" s="94"/>
      <c r="V22" s="555"/>
      <c r="W22" s="476"/>
      <c r="X22" s="73"/>
      <c r="Y22" s="13"/>
      <c r="Z22" s="13"/>
      <c r="AA22" s="13"/>
    </row>
    <row r="23" spans="1:27" ht="17.100000000000001" customHeight="1">
      <c r="A23" s="31"/>
      <c r="B23" s="40"/>
      <c r="C23" s="40"/>
      <c r="D23" s="58"/>
      <c r="E23" s="59"/>
      <c r="F23" s="68"/>
      <c r="G23" s="69"/>
      <c r="H23" s="58"/>
      <c r="I23" s="59"/>
      <c r="J23" s="58"/>
      <c r="K23" s="59"/>
      <c r="L23" s="41"/>
      <c r="M23" s="42"/>
      <c r="N23" s="41"/>
      <c r="O23" s="40"/>
      <c r="P23" s="31"/>
      <c r="Q23" s="94"/>
      <c r="R23" s="483"/>
      <c r="S23" s="483"/>
      <c r="T23" s="94"/>
      <c r="U23" s="13"/>
      <c r="V23" s="13"/>
      <c r="W23" s="13"/>
      <c r="X23" s="73"/>
      <c r="Y23" s="3"/>
      <c r="Z23" s="12"/>
      <c r="AA23" s="12"/>
    </row>
    <row r="24" spans="1:27" ht="17.100000000000001" customHeight="1">
      <c r="A24" s="31"/>
      <c r="B24" s="521">
        <f>N18+1</f>
        <v>18</v>
      </c>
      <c r="C24" s="522"/>
      <c r="D24" s="500">
        <f>B24+1</f>
        <v>19</v>
      </c>
      <c r="E24" s="501"/>
      <c r="F24" s="500">
        <f>D24+1</f>
        <v>20</v>
      </c>
      <c r="G24" s="501"/>
      <c r="H24" s="500">
        <f t="shared" ref="H24" si="11">F24+1</f>
        <v>21</v>
      </c>
      <c r="I24" s="501"/>
      <c r="J24" s="500">
        <f t="shared" ref="J24" si="12">H24+1</f>
        <v>22</v>
      </c>
      <c r="K24" s="501"/>
      <c r="L24" s="500">
        <f t="shared" ref="L24" si="13">J24+1</f>
        <v>23</v>
      </c>
      <c r="M24" s="501"/>
      <c r="N24" s="502">
        <f t="shared" ref="N24" si="14">L24+1</f>
        <v>24</v>
      </c>
      <c r="O24" s="503"/>
      <c r="P24" s="31"/>
      <c r="Q24" s="3"/>
      <c r="R24" s="563"/>
      <c r="S24" s="563"/>
      <c r="T24" s="94"/>
      <c r="U24" s="483"/>
      <c r="V24" s="155"/>
      <c r="W24" s="156"/>
      <c r="X24" s="73"/>
      <c r="AA24" s="15"/>
    </row>
    <row r="25" spans="1:27" ht="17.100000000000001" customHeight="1">
      <c r="A25" s="31"/>
      <c r="B25" s="60"/>
      <c r="C25" s="75"/>
      <c r="D25" s="494"/>
      <c r="E25" s="495"/>
      <c r="F25" s="494"/>
      <c r="G25" s="495"/>
      <c r="H25" s="35"/>
      <c r="I25" s="36"/>
      <c r="J25" s="494"/>
      <c r="K25" s="495"/>
      <c r="L25" s="35"/>
      <c r="M25" s="36"/>
      <c r="N25" s="35"/>
      <c r="O25" s="43"/>
      <c r="P25" s="31"/>
      <c r="Q25" s="3"/>
      <c r="R25" s="563"/>
      <c r="S25" s="563"/>
      <c r="T25" s="94"/>
      <c r="U25" s="483"/>
      <c r="V25" s="157"/>
      <c r="W25" s="156"/>
      <c r="X25" s="73"/>
      <c r="Y25" s="3"/>
      <c r="Z25" s="4"/>
      <c r="AA25" s="4"/>
    </row>
    <row r="26" spans="1:27" ht="17.100000000000001" customHeight="1">
      <c r="A26" s="31"/>
      <c r="B26" s="43"/>
      <c r="C26" s="36"/>
      <c r="D26" s="35"/>
      <c r="E26" s="36"/>
      <c r="F26" s="35"/>
      <c r="G26" s="36"/>
      <c r="H26" s="35"/>
      <c r="I26" s="36"/>
      <c r="J26" s="494"/>
      <c r="K26" s="495"/>
      <c r="L26" s="74"/>
      <c r="M26" s="75"/>
      <c r="N26" s="35"/>
      <c r="O26" s="43"/>
      <c r="P26" s="31"/>
      <c r="Q26" s="3"/>
      <c r="R26" s="564"/>
      <c r="S26" s="564"/>
      <c r="T26" s="94"/>
      <c r="U26" s="483"/>
      <c r="V26" s="19"/>
      <c r="W26" s="156"/>
      <c r="X26" s="73"/>
      <c r="Y26" s="3"/>
      <c r="Z26" s="4"/>
      <c r="AA26" s="4"/>
    </row>
    <row r="27" spans="1:27" ht="17.100000000000001" customHeight="1">
      <c r="A27" s="31"/>
      <c r="B27" s="60"/>
      <c r="C27" s="60"/>
      <c r="D27" s="35"/>
      <c r="E27" s="36"/>
      <c r="F27" s="35"/>
      <c r="G27" s="36"/>
      <c r="H27" s="35"/>
      <c r="I27" s="36"/>
      <c r="J27" s="35"/>
      <c r="K27" s="36"/>
      <c r="L27" s="74"/>
      <c r="M27" s="60"/>
      <c r="N27" s="74"/>
      <c r="O27" s="60"/>
      <c r="P27" s="31"/>
      <c r="Q27" s="3"/>
      <c r="R27" s="564"/>
      <c r="S27" s="564"/>
      <c r="T27" s="94"/>
      <c r="U27" s="483"/>
      <c r="V27" s="157"/>
      <c r="W27" s="156"/>
      <c r="X27" s="73"/>
      <c r="Y27" s="3"/>
      <c r="Z27" s="16"/>
      <c r="AA27" s="16"/>
    </row>
    <row r="28" spans="1:27" ht="17.100000000000001" customHeight="1">
      <c r="A28" s="31"/>
      <c r="B28" s="60"/>
      <c r="C28" s="60"/>
      <c r="D28" s="74"/>
      <c r="E28" s="60"/>
      <c r="F28" s="74"/>
      <c r="G28" s="60"/>
      <c r="H28" s="35"/>
      <c r="I28" s="36"/>
      <c r="J28" s="35"/>
      <c r="K28" s="36"/>
      <c r="L28" s="74"/>
      <c r="M28" s="60"/>
      <c r="N28" s="74"/>
      <c r="O28" s="60"/>
      <c r="P28" s="31"/>
      <c r="Q28" s="3"/>
      <c r="R28" s="564"/>
      <c r="S28" s="564"/>
      <c r="T28" s="94"/>
      <c r="U28" s="483"/>
      <c r="V28" s="19"/>
      <c r="W28" s="156"/>
      <c r="X28" s="73"/>
      <c r="Y28" s="13"/>
      <c r="Z28" s="13"/>
      <c r="AA28" s="13"/>
    </row>
    <row r="29" spans="1:27" ht="17.100000000000001" customHeight="1">
      <c r="A29" s="31"/>
      <c r="B29" s="61"/>
      <c r="C29" s="61"/>
      <c r="D29" s="58"/>
      <c r="E29" s="59"/>
      <c r="F29" s="58"/>
      <c r="G29" s="59"/>
      <c r="H29" s="68"/>
      <c r="I29" s="69"/>
      <c r="J29" s="58"/>
      <c r="K29" s="59"/>
      <c r="L29" s="74"/>
      <c r="M29" s="60"/>
      <c r="N29" s="58"/>
      <c r="O29" s="61"/>
      <c r="P29" s="31"/>
      <c r="Q29" s="3"/>
      <c r="R29" s="563"/>
      <c r="S29" s="563"/>
      <c r="T29" s="94"/>
      <c r="U29" s="94"/>
      <c r="V29" s="571"/>
      <c r="W29" s="571"/>
      <c r="X29" s="73"/>
      <c r="Y29" s="3"/>
      <c r="Z29" s="12"/>
      <c r="AA29" s="12"/>
    </row>
    <row r="30" spans="1:27" ht="17.100000000000001" customHeight="1">
      <c r="A30" s="31"/>
      <c r="B30" s="521">
        <f>N24+1</f>
        <v>25</v>
      </c>
      <c r="C30" s="522"/>
      <c r="D30" s="500">
        <f>B30+1</f>
        <v>26</v>
      </c>
      <c r="E30" s="501"/>
      <c r="F30" s="500">
        <f>D30+1</f>
        <v>27</v>
      </c>
      <c r="G30" s="501"/>
      <c r="H30" s="500">
        <f t="shared" ref="H30" si="15">F30+1</f>
        <v>28</v>
      </c>
      <c r="I30" s="501"/>
      <c r="J30" s="500">
        <f t="shared" ref="J30" si="16">H30+1</f>
        <v>29</v>
      </c>
      <c r="K30" s="501"/>
      <c r="L30" s="500">
        <f t="shared" ref="L30" si="17">J30+1</f>
        <v>30</v>
      </c>
      <c r="M30" s="501"/>
      <c r="N30" s="500">
        <f t="shared" ref="N30" si="18">L30+1</f>
        <v>31</v>
      </c>
      <c r="O30" s="562"/>
      <c r="P30" s="31"/>
      <c r="Q30" s="3"/>
      <c r="R30" s="570"/>
      <c r="S30" s="570"/>
      <c r="T30" s="94"/>
      <c r="U30" s="94"/>
      <c r="V30" s="15"/>
      <c r="W30" s="15"/>
      <c r="X30" s="73"/>
      <c r="Y30" s="14"/>
      <c r="Z30" s="15"/>
      <c r="AA30" s="15"/>
    </row>
    <row r="31" spans="1:27" ht="17.100000000000001" customHeight="1">
      <c r="A31" s="31"/>
      <c r="B31" s="43"/>
      <c r="C31" s="36"/>
      <c r="D31" s="35"/>
      <c r="E31" s="36"/>
      <c r="F31" s="35"/>
      <c r="G31" s="36"/>
      <c r="H31" s="35"/>
      <c r="I31" s="36"/>
      <c r="J31" s="35"/>
      <c r="K31" s="36"/>
      <c r="L31" s="37"/>
      <c r="M31" s="38"/>
      <c r="N31" s="31"/>
      <c r="O31" s="72"/>
      <c r="P31" s="31"/>
      <c r="Q31" s="94"/>
      <c r="R31" s="51"/>
      <c r="S31" s="51"/>
      <c r="T31" s="94"/>
      <c r="U31" s="94"/>
      <c r="V31" s="51"/>
      <c r="W31" s="51"/>
      <c r="X31" s="73"/>
      <c r="Y31" s="3"/>
      <c r="Z31" s="4"/>
      <c r="AA31" s="4"/>
    </row>
    <row r="32" spans="1:27" ht="17.100000000000001" customHeight="1">
      <c r="A32" s="31"/>
      <c r="B32" s="43"/>
      <c r="C32" s="36"/>
      <c r="D32" s="35"/>
      <c r="E32" s="36"/>
      <c r="F32" s="35"/>
      <c r="G32" s="36"/>
      <c r="H32" s="35"/>
      <c r="I32" s="36"/>
      <c r="J32" s="35"/>
      <c r="K32" s="36"/>
      <c r="L32" s="37"/>
      <c r="M32" s="38"/>
      <c r="N32" s="31"/>
      <c r="O32" s="31"/>
      <c r="P32" s="31"/>
      <c r="Q32" s="13"/>
      <c r="R32" s="13"/>
      <c r="S32" s="13"/>
      <c r="T32" s="94"/>
      <c r="U32" s="94"/>
      <c r="V32" s="94"/>
      <c r="W32" s="94"/>
      <c r="X32" s="73"/>
      <c r="Y32" s="3"/>
      <c r="Z32" s="4"/>
      <c r="AA32" s="4"/>
    </row>
    <row r="33" spans="1:27" ht="17.100000000000001" customHeight="1">
      <c r="A33" s="31"/>
      <c r="B33" s="60"/>
      <c r="C33" s="60"/>
      <c r="D33" s="35"/>
      <c r="E33" s="36"/>
      <c r="F33" s="35"/>
      <c r="G33" s="36"/>
      <c r="H33" s="35"/>
      <c r="I33" s="36"/>
      <c r="J33" s="74"/>
      <c r="K33" s="75"/>
      <c r="L33" s="62"/>
      <c r="M33" s="63"/>
      <c r="N33" s="31"/>
      <c r="O33" s="31"/>
      <c r="P33" s="31"/>
      <c r="Q33" s="13"/>
      <c r="R33" s="13"/>
      <c r="S33" s="13"/>
      <c r="T33" s="94"/>
      <c r="U33" s="94"/>
      <c r="V33" s="12"/>
      <c r="W33" s="12"/>
      <c r="X33" s="73"/>
      <c r="Y33" s="3"/>
      <c r="Z33" s="5"/>
      <c r="AA33" s="5"/>
    </row>
    <row r="34" spans="1:27" ht="17.100000000000001" customHeight="1">
      <c r="A34" s="31"/>
      <c r="B34" s="60"/>
      <c r="C34" s="60"/>
      <c r="D34" s="35"/>
      <c r="E34" s="36"/>
      <c r="F34" s="35"/>
      <c r="G34" s="36"/>
      <c r="H34" s="35"/>
      <c r="I34" s="36"/>
      <c r="J34" s="35"/>
      <c r="K34" s="36"/>
      <c r="L34" s="62"/>
      <c r="M34" s="63"/>
      <c r="N34" s="31"/>
      <c r="O34" s="31"/>
      <c r="P34" s="31"/>
      <c r="T34" s="73"/>
      <c r="X34" s="73"/>
      <c r="Y34" s="3"/>
      <c r="Z34" s="4"/>
      <c r="AA34" s="4"/>
    </row>
    <row r="35" spans="1:27" ht="17.100000000000001" customHeight="1">
      <c r="A35" s="31"/>
      <c r="B35" s="61"/>
      <c r="C35" s="61"/>
      <c r="D35" s="68"/>
      <c r="E35" s="69"/>
      <c r="F35" s="68"/>
      <c r="G35" s="69"/>
      <c r="H35" s="68"/>
      <c r="I35" s="69"/>
      <c r="J35" s="68"/>
      <c r="K35" s="69"/>
      <c r="L35" s="41"/>
      <c r="M35" s="42"/>
      <c r="N35" s="31"/>
      <c r="O35" s="31"/>
      <c r="P35" s="31"/>
      <c r="T35" s="73"/>
      <c r="X35" s="73"/>
      <c r="Y35" s="3"/>
      <c r="Z35" s="16"/>
      <c r="AA35" s="16"/>
    </row>
    <row r="36" spans="1:27" ht="17.100000000000001" customHeight="1">
      <c r="A36" s="31"/>
      <c r="B36" s="558"/>
      <c r="C36" s="558"/>
      <c r="D36" s="497"/>
      <c r="E36" s="497"/>
      <c r="F36" s="497"/>
      <c r="G36" s="497"/>
      <c r="H36" s="556"/>
      <c r="I36" s="556"/>
      <c r="J36" s="556"/>
      <c r="K36" s="556"/>
      <c r="L36" s="497"/>
      <c r="M36" s="497"/>
      <c r="N36" s="497"/>
      <c r="O36" s="497"/>
      <c r="P36" s="31"/>
      <c r="S36" s="21"/>
      <c r="T36" s="73"/>
      <c r="X36" s="73"/>
      <c r="Y36" s="13"/>
      <c r="Z36" s="13"/>
      <c r="AA36" s="13"/>
    </row>
    <row r="37" spans="1:27" ht="17.100000000000001" customHeight="1">
      <c r="A37" s="31"/>
      <c r="B37" s="553"/>
      <c r="C37" s="553"/>
      <c r="D37" s="553"/>
      <c r="E37" s="553"/>
      <c r="F37" s="553"/>
      <c r="G37" s="553"/>
      <c r="H37" s="553"/>
      <c r="I37" s="553"/>
      <c r="J37" s="553"/>
      <c r="K37" s="553"/>
      <c r="L37" s="553"/>
      <c r="M37" s="553"/>
      <c r="N37" s="553"/>
      <c r="O37" s="553"/>
      <c r="P37" s="31"/>
      <c r="S37" s="21"/>
      <c r="T37" s="73"/>
      <c r="X37" s="73"/>
      <c r="Y37" s="3"/>
      <c r="Z37" s="12"/>
      <c r="AA37" s="12"/>
    </row>
    <row r="38" spans="1:27" ht="17.100000000000001" customHeight="1">
      <c r="A38" s="31"/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31"/>
      <c r="T38" s="73"/>
      <c r="X38" s="73"/>
      <c r="Y38" s="14"/>
      <c r="Z38" s="15"/>
      <c r="AA38" s="15"/>
    </row>
    <row r="39" spans="1:27" ht="17.100000000000001" customHeight="1">
      <c r="A39" s="31"/>
      <c r="B39" s="553"/>
      <c r="C39" s="553"/>
      <c r="D39" s="554"/>
      <c r="E39" s="553"/>
      <c r="F39" s="554"/>
      <c r="G39" s="553"/>
      <c r="H39" s="554"/>
      <c r="I39" s="553"/>
      <c r="J39" s="554"/>
      <c r="K39" s="553"/>
      <c r="L39" s="554"/>
      <c r="M39" s="553"/>
      <c r="N39" s="554"/>
      <c r="O39" s="553"/>
      <c r="P39" s="31"/>
      <c r="T39" s="73"/>
      <c r="X39" s="73"/>
      <c r="Y39" s="3"/>
      <c r="Z39" s="4"/>
      <c r="AA39" s="4"/>
    </row>
    <row r="40" spans="1:27" ht="17.25">
      <c r="A40" s="3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31"/>
      <c r="Q40" s="73"/>
      <c r="R40" s="51"/>
      <c r="S40" s="51"/>
      <c r="T40" s="73"/>
      <c r="U40" s="73"/>
      <c r="V40" s="73"/>
      <c r="W40" s="73"/>
      <c r="X40" s="73"/>
      <c r="Y40" s="3"/>
      <c r="Z40" s="4"/>
      <c r="AA40" s="4"/>
    </row>
    <row r="41" spans="1:27" ht="16.5" customHeight="1">
      <c r="A41" s="31"/>
      <c r="B41" s="553"/>
      <c r="C41" s="553"/>
      <c r="D41" s="553"/>
      <c r="E41" s="553"/>
      <c r="F41" s="553"/>
      <c r="G41" s="553"/>
      <c r="H41" s="553"/>
      <c r="I41" s="553"/>
      <c r="J41" s="553"/>
      <c r="K41" s="553"/>
      <c r="L41" s="553"/>
      <c r="M41" s="553"/>
      <c r="N41" s="553"/>
      <c r="O41" s="553"/>
      <c r="P41" s="31"/>
      <c r="Q41" s="73"/>
      <c r="R41" s="73"/>
      <c r="S41" s="73"/>
      <c r="T41" s="73"/>
      <c r="U41" s="73"/>
      <c r="V41" s="73"/>
      <c r="W41" s="73"/>
      <c r="X41" s="73"/>
      <c r="Y41" s="3"/>
      <c r="Z41" s="5"/>
      <c r="AA41" s="5"/>
    </row>
    <row r="42" spans="1:27" ht="17.25">
      <c r="A42" s="31"/>
      <c r="B42" s="553"/>
      <c r="C42" s="553"/>
      <c r="D42" s="553"/>
      <c r="E42" s="553"/>
      <c r="F42" s="553"/>
      <c r="G42" s="553"/>
      <c r="H42" s="553"/>
      <c r="I42" s="553"/>
      <c r="J42" s="553"/>
      <c r="K42" s="553"/>
      <c r="L42" s="553"/>
      <c r="M42" s="553"/>
      <c r="N42" s="553"/>
      <c r="O42" s="553"/>
      <c r="P42" s="31"/>
      <c r="Q42" s="73"/>
      <c r="R42" s="12"/>
      <c r="S42" s="12"/>
      <c r="T42" s="73"/>
      <c r="U42" s="13"/>
      <c r="V42" s="13"/>
      <c r="W42" s="13"/>
      <c r="X42" s="73"/>
      <c r="Y42" s="3"/>
      <c r="Z42" s="4"/>
      <c r="AA42" s="4"/>
    </row>
    <row r="43" spans="1:27" ht="17.25">
      <c r="B43" s="553"/>
      <c r="C43" s="553"/>
      <c r="D43" s="554"/>
      <c r="E43" s="553"/>
      <c r="F43" s="554"/>
      <c r="G43" s="553"/>
      <c r="H43" s="554"/>
      <c r="I43" s="553"/>
      <c r="J43" s="554"/>
      <c r="K43" s="553"/>
      <c r="L43" s="554"/>
      <c r="M43" s="553"/>
      <c r="N43" s="554"/>
      <c r="O43" s="553"/>
      <c r="Q43" s="73"/>
      <c r="R43" s="15"/>
      <c r="S43" s="15"/>
      <c r="T43" s="13"/>
      <c r="U43" s="13"/>
      <c r="V43" s="13"/>
      <c r="W43" s="13"/>
      <c r="X43" s="13"/>
      <c r="Y43" s="3"/>
      <c r="Z43" s="16"/>
      <c r="AA43" s="16"/>
    </row>
    <row r="44" spans="1:27">
      <c r="B44" s="8"/>
      <c r="C44" s="8"/>
      <c r="D44" s="24"/>
      <c r="E44" s="24"/>
      <c r="F44" s="18"/>
      <c r="G44" s="18"/>
      <c r="H44" s="18"/>
      <c r="I44" s="18"/>
      <c r="J44" s="18"/>
      <c r="K44" s="18"/>
      <c r="L44" s="18"/>
      <c r="M44" s="18"/>
      <c r="N44" s="18"/>
      <c r="O44" s="18"/>
      <c r="Q44" s="73"/>
      <c r="R44" s="15"/>
      <c r="S44" s="15"/>
      <c r="T44" s="13"/>
      <c r="U44" s="13"/>
      <c r="V44" s="13"/>
      <c r="W44" s="13"/>
      <c r="X44" s="13"/>
      <c r="Y44" s="13"/>
      <c r="Z44" s="13"/>
      <c r="AA44" s="13"/>
    </row>
    <row r="45" spans="1:27">
      <c r="B45" s="8"/>
      <c r="C45" s="8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Q45" s="73"/>
      <c r="R45" s="15"/>
      <c r="S45" s="15"/>
      <c r="T45" s="13"/>
      <c r="X45" s="13"/>
      <c r="Y45" s="13"/>
      <c r="Z45" s="13"/>
      <c r="AA45" s="13"/>
    </row>
    <row r="46" spans="1:27">
      <c r="Q46" s="3"/>
      <c r="R46" s="5"/>
      <c r="S46" s="5"/>
    </row>
    <row r="47" spans="1:27">
      <c r="Q47" s="3"/>
      <c r="R47" s="4"/>
      <c r="S47" s="4"/>
    </row>
    <row r="48" spans="1:27">
      <c r="Q48" s="3"/>
      <c r="R48" s="16"/>
      <c r="S48" s="16"/>
    </row>
  </sheetData>
  <mergeCells count="140">
    <mergeCell ref="B43:C43"/>
    <mergeCell ref="D43:E43"/>
    <mergeCell ref="F43:G43"/>
    <mergeCell ref="H43:I43"/>
    <mergeCell ref="J43:K43"/>
    <mergeCell ref="L43:M43"/>
    <mergeCell ref="N43:O43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B38:C38"/>
    <mergeCell ref="D38:E38"/>
    <mergeCell ref="F38:G38"/>
    <mergeCell ref="H38:I38"/>
    <mergeCell ref="J38:K38"/>
    <mergeCell ref="L38:M38"/>
    <mergeCell ref="N38:O38"/>
    <mergeCell ref="B39:C39"/>
    <mergeCell ref="D39:E39"/>
    <mergeCell ref="F39:G39"/>
    <mergeCell ref="H39:I39"/>
    <mergeCell ref="J39:K39"/>
    <mergeCell ref="L39:M39"/>
    <mergeCell ref="N39:O39"/>
    <mergeCell ref="Q6:Q16"/>
    <mergeCell ref="B37:C37"/>
    <mergeCell ref="D37:E37"/>
    <mergeCell ref="F37:G37"/>
    <mergeCell ref="H37:I37"/>
    <mergeCell ref="J37:K37"/>
    <mergeCell ref="L37:M37"/>
    <mergeCell ref="N37:O37"/>
    <mergeCell ref="B36:C36"/>
    <mergeCell ref="F17:G17"/>
    <mergeCell ref="L36:M36"/>
    <mergeCell ref="N36:O36"/>
    <mergeCell ref="B18:C18"/>
    <mergeCell ref="B24:C24"/>
    <mergeCell ref="F24:G24"/>
    <mergeCell ref="H24:I24"/>
    <mergeCell ref="B30:C30"/>
    <mergeCell ref="D36:E36"/>
    <mergeCell ref="J20:K20"/>
    <mergeCell ref="D19:E19"/>
    <mergeCell ref="B2:O3"/>
    <mergeCell ref="B6:C6"/>
    <mergeCell ref="D6:E6"/>
    <mergeCell ref="F6:G6"/>
    <mergeCell ref="H6:I6"/>
    <mergeCell ref="J6:K6"/>
    <mergeCell ref="B12:C12"/>
    <mergeCell ref="D12:E12"/>
    <mergeCell ref="B4:O4"/>
    <mergeCell ref="B5:C5"/>
    <mergeCell ref="D5:E5"/>
    <mergeCell ref="F5:G5"/>
    <mergeCell ref="H5:I5"/>
    <mergeCell ref="J5:K5"/>
    <mergeCell ref="L5:M5"/>
    <mergeCell ref="N5:O5"/>
    <mergeCell ref="L6:M6"/>
    <mergeCell ref="N6:O6"/>
    <mergeCell ref="L12:M12"/>
    <mergeCell ref="N12:O12"/>
    <mergeCell ref="F12:G12"/>
    <mergeCell ref="V6:W6"/>
    <mergeCell ref="V7:W7"/>
    <mergeCell ref="V8:W8"/>
    <mergeCell ref="Q2:S2"/>
    <mergeCell ref="Q3:S4"/>
    <mergeCell ref="F36:G36"/>
    <mergeCell ref="H36:I36"/>
    <mergeCell ref="J36:K36"/>
    <mergeCell ref="J21:K21"/>
    <mergeCell ref="H12:I12"/>
    <mergeCell ref="J12:K12"/>
    <mergeCell ref="H7:I7"/>
    <mergeCell ref="H19:I19"/>
    <mergeCell ref="J19:K19"/>
    <mergeCell ref="H8:I8"/>
    <mergeCell ref="F18:G18"/>
    <mergeCell ref="H18:I18"/>
    <mergeCell ref="J18:K18"/>
    <mergeCell ref="R26:S26"/>
    <mergeCell ref="R27:S27"/>
    <mergeCell ref="R19:S19"/>
    <mergeCell ref="R20:S20"/>
    <mergeCell ref="V15:W15"/>
    <mergeCell ref="V16:W16"/>
    <mergeCell ref="V17:W17"/>
    <mergeCell ref="V18:W18"/>
    <mergeCell ref="V19:W19"/>
    <mergeCell ref="V21:W21"/>
    <mergeCell ref="V22:W22"/>
    <mergeCell ref="V20:W20"/>
    <mergeCell ref="D30:E30"/>
    <mergeCell ref="F30:G30"/>
    <mergeCell ref="H30:I30"/>
    <mergeCell ref="J30:K30"/>
    <mergeCell ref="D18:E18"/>
    <mergeCell ref="D25:E25"/>
    <mergeCell ref="F25:G25"/>
    <mergeCell ref="D24:E24"/>
    <mergeCell ref="N30:O30"/>
    <mergeCell ref="H20:I20"/>
    <mergeCell ref="V9:W9"/>
    <mergeCell ref="V10:W10"/>
    <mergeCell ref="L30:M30"/>
    <mergeCell ref="R29:S29"/>
    <mergeCell ref="R30:S30"/>
    <mergeCell ref="J25:K25"/>
    <mergeCell ref="J26:K26"/>
    <mergeCell ref="R28:S28"/>
    <mergeCell ref="R17:S17"/>
    <mergeCell ref="R18:S18"/>
    <mergeCell ref="R25:S25"/>
    <mergeCell ref="V29:W29"/>
    <mergeCell ref="L18:M18"/>
    <mergeCell ref="N18:O18"/>
    <mergeCell ref="J24:K24"/>
    <mergeCell ref="L24:M24"/>
    <mergeCell ref="N24:O24"/>
    <mergeCell ref="U24:U28"/>
    <mergeCell ref="V11:W11"/>
    <mergeCell ref="V12:W12"/>
    <mergeCell ref="V13:W13"/>
    <mergeCell ref="R22:S22"/>
    <mergeCell ref="R23:S23"/>
    <mergeCell ref="R24:S24"/>
  </mergeCells>
  <phoneticPr fontId="1" type="noConversion"/>
  <pageMargins left="0.25" right="0.25" top="0.75" bottom="0.75" header="0.3" footer="0.3"/>
  <pageSetup paperSize="9" scale="64" fitToWidth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1"/>
  <sheetViews>
    <sheetView view="pageBreakPreview" zoomScale="70" zoomScaleNormal="85" zoomScaleSheetLayoutView="70" workbookViewId="0">
      <selection activeCell="Q6" sqref="Q6:S17"/>
    </sheetView>
  </sheetViews>
  <sheetFormatPr defaultColWidth="9" defaultRowHeight="16.5"/>
  <cols>
    <col min="1" max="1" width="5.625" style="1" customWidth="1"/>
    <col min="2" max="15" width="9" style="1"/>
    <col min="16" max="16" width="5.625" style="1" customWidth="1"/>
    <col min="17" max="19" width="10.625" style="1" customWidth="1"/>
    <col min="20" max="20" width="5.625" style="1" customWidth="1"/>
    <col min="21" max="23" width="10.625" style="1" customWidth="1"/>
    <col min="24" max="24" width="5.625" style="1" customWidth="1"/>
    <col min="25" max="27" width="10.625" style="1" customWidth="1"/>
    <col min="28" max="16384" width="9" style="1"/>
  </cols>
  <sheetData>
    <row r="1" spans="2:27" ht="17.25" thickBot="1"/>
    <row r="2" spans="2:27" ht="16.5" customHeight="1">
      <c r="B2" s="504" t="s">
        <v>8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31"/>
      <c r="Q2" s="506" t="s">
        <v>0</v>
      </c>
      <c r="R2" s="507"/>
      <c r="S2" s="508"/>
      <c r="T2" s="31"/>
      <c r="U2" s="31"/>
      <c r="V2" s="31"/>
      <c r="W2" s="31"/>
      <c r="X2" s="31"/>
    </row>
    <row r="3" spans="2:27" ht="16.5" customHeight="1" thickBot="1"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31"/>
      <c r="Q3" s="509">
        <f>Z24</f>
        <v>0</v>
      </c>
      <c r="R3" s="510"/>
      <c r="S3" s="511"/>
      <c r="T3" s="31"/>
      <c r="U3" s="31"/>
      <c r="V3" s="31"/>
      <c r="W3" s="31"/>
      <c r="X3" s="31"/>
    </row>
    <row r="4" spans="2:27" ht="21.75" customHeight="1" thickBot="1">
      <c r="B4" s="515" t="s">
        <v>23</v>
      </c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515"/>
      <c r="P4" s="31"/>
      <c r="Q4" s="512"/>
      <c r="R4" s="513"/>
      <c r="S4" s="514"/>
      <c r="T4" s="31"/>
      <c r="U4" s="77"/>
      <c r="V4" s="12"/>
      <c r="W4" s="12"/>
      <c r="X4" s="31"/>
    </row>
    <row r="5" spans="2:27" ht="30" customHeight="1" thickBot="1">
      <c r="B5" s="516" t="s">
        <v>4</v>
      </c>
      <c r="C5" s="517"/>
      <c r="D5" s="518" t="s">
        <v>1</v>
      </c>
      <c r="E5" s="518"/>
      <c r="F5" s="518" t="s">
        <v>5</v>
      </c>
      <c r="G5" s="518"/>
      <c r="H5" s="518" t="s">
        <v>6</v>
      </c>
      <c r="I5" s="518"/>
      <c r="J5" s="518" t="s">
        <v>2</v>
      </c>
      <c r="K5" s="518"/>
      <c r="L5" s="518" t="s">
        <v>3</v>
      </c>
      <c r="M5" s="518"/>
      <c r="N5" s="519" t="s">
        <v>7</v>
      </c>
      <c r="O5" s="520"/>
      <c r="P5" s="31"/>
      <c r="Q5" s="32"/>
      <c r="R5" s="32"/>
      <c r="S5" s="32"/>
      <c r="T5" s="31"/>
      <c r="U5" s="77"/>
      <c r="V5" s="15"/>
      <c r="W5" s="15"/>
      <c r="X5" s="31"/>
    </row>
    <row r="6" spans="2:27" ht="17.100000000000001" customHeight="1">
      <c r="B6" s="521">
        <v>1</v>
      </c>
      <c r="C6" s="522"/>
      <c r="D6" s="561">
        <f>B6+1</f>
        <v>2</v>
      </c>
      <c r="E6" s="524"/>
      <c r="F6" s="561">
        <f t="shared" ref="F6" si="0">D6+1</f>
        <v>3</v>
      </c>
      <c r="G6" s="524"/>
      <c r="H6" s="561">
        <f t="shared" ref="H6" si="1">F6+1</f>
        <v>4</v>
      </c>
      <c r="I6" s="524"/>
      <c r="J6" s="561">
        <f t="shared" ref="J6" si="2">H6+1</f>
        <v>5</v>
      </c>
      <c r="K6" s="524"/>
      <c r="L6" s="561">
        <f t="shared" ref="L6" si="3">J6+1</f>
        <v>6</v>
      </c>
      <c r="M6" s="524"/>
      <c r="N6" s="502">
        <f t="shared" ref="N6" si="4">L6+1</f>
        <v>7</v>
      </c>
      <c r="O6" s="503"/>
      <c r="P6" s="31"/>
      <c r="Q6" s="485" t="s">
        <v>9</v>
      </c>
      <c r="R6" s="123"/>
      <c r="S6" s="52"/>
      <c r="T6" s="94"/>
      <c r="U6" s="3"/>
      <c r="V6" s="489"/>
      <c r="W6" s="489"/>
      <c r="X6" s="94"/>
      <c r="Y6" s="3"/>
      <c r="Z6" s="483"/>
      <c r="AA6" s="483"/>
    </row>
    <row r="7" spans="2:27" ht="17.100000000000001" customHeight="1">
      <c r="B7" s="34"/>
      <c r="C7" s="34"/>
      <c r="D7" s="37"/>
      <c r="E7" s="38"/>
      <c r="F7" s="78"/>
      <c r="G7" s="79"/>
      <c r="H7" s="35"/>
      <c r="I7" s="36"/>
      <c r="J7" s="78"/>
      <c r="K7" s="79"/>
      <c r="L7" s="35"/>
      <c r="M7" s="36"/>
      <c r="N7" s="35"/>
      <c r="O7" s="43"/>
      <c r="P7" s="31"/>
      <c r="Q7" s="486"/>
      <c r="R7" s="124"/>
      <c r="S7" s="53"/>
      <c r="T7" s="94"/>
      <c r="U7" s="94"/>
      <c r="V7" s="483"/>
      <c r="W7" s="483"/>
      <c r="X7" s="94"/>
      <c r="Y7" s="94"/>
      <c r="Z7" s="483"/>
      <c r="AA7" s="483"/>
    </row>
    <row r="8" spans="2:27" ht="17.100000000000001" customHeight="1">
      <c r="B8" s="34"/>
      <c r="C8" s="34"/>
      <c r="D8" s="37"/>
      <c r="E8" s="38"/>
      <c r="F8" s="37"/>
      <c r="G8" s="38"/>
      <c r="H8" s="37"/>
      <c r="I8" s="38"/>
      <c r="J8" s="37"/>
      <c r="K8" s="38"/>
      <c r="L8" s="35"/>
      <c r="M8" s="36"/>
      <c r="N8" s="35"/>
      <c r="O8" s="43"/>
      <c r="P8" s="31"/>
      <c r="Q8" s="486"/>
      <c r="R8" s="144"/>
      <c r="S8" s="53"/>
      <c r="T8" s="94"/>
      <c r="U8" s="3"/>
      <c r="V8" s="563"/>
      <c r="W8" s="563"/>
      <c r="X8" s="94"/>
      <c r="Y8" s="3"/>
      <c r="Z8" s="563"/>
      <c r="AA8" s="563"/>
    </row>
    <row r="9" spans="2:27" ht="17.100000000000001" customHeight="1">
      <c r="B9" s="34"/>
      <c r="C9" s="34"/>
      <c r="D9" s="37"/>
      <c r="E9" s="38"/>
      <c r="F9" s="37"/>
      <c r="G9" s="38"/>
      <c r="H9" s="37"/>
      <c r="I9" s="38"/>
      <c r="J9" s="37"/>
      <c r="K9" s="38"/>
      <c r="L9" s="35"/>
      <c r="M9" s="36"/>
      <c r="N9" s="35"/>
      <c r="O9" s="43"/>
      <c r="P9" s="31"/>
      <c r="Q9" s="486"/>
      <c r="R9" s="145"/>
      <c r="S9" s="54"/>
      <c r="T9" s="94"/>
      <c r="U9" s="3"/>
      <c r="V9" s="563"/>
      <c r="W9" s="563"/>
      <c r="X9" s="94"/>
      <c r="Y9" s="3"/>
      <c r="Z9" s="563"/>
      <c r="AA9" s="563"/>
    </row>
    <row r="10" spans="2:27" ht="17.100000000000001" customHeight="1">
      <c r="B10" s="34"/>
      <c r="C10" s="34"/>
      <c r="D10" s="37"/>
      <c r="E10" s="38"/>
      <c r="F10" s="37"/>
      <c r="G10" s="38"/>
      <c r="H10" s="37"/>
      <c r="I10" s="38"/>
      <c r="J10" s="37"/>
      <c r="K10" s="38"/>
      <c r="L10" s="78"/>
      <c r="M10" s="79"/>
      <c r="N10" s="78"/>
      <c r="O10" s="60"/>
      <c r="P10" s="31"/>
      <c r="Q10" s="486"/>
      <c r="R10" s="145"/>
      <c r="S10" s="54"/>
      <c r="T10" s="94"/>
      <c r="U10" s="3"/>
      <c r="V10" s="484"/>
      <c r="W10" s="484"/>
      <c r="X10" s="94"/>
      <c r="Y10" s="3"/>
      <c r="Z10" s="564"/>
      <c r="AA10" s="564"/>
    </row>
    <row r="11" spans="2:27" ht="17.100000000000001" customHeight="1">
      <c r="B11" s="40"/>
      <c r="C11" s="40"/>
      <c r="D11" s="41"/>
      <c r="E11" s="42"/>
      <c r="F11" s="41"/>
      <c r="G11" s="42"/>
      <c r="H11" s="41"/>
      <c r="I11" s="42"/>
      <c r="J11" s="41"/>
      <c r="K11" s="42"/>
      <c r="L11" s="41"/>
      <c r="M11" s="42"/>
      <c r="N11" s="41"/>
      <c r="O11" s="40"/>
      <c r="P11" s="31"/>
      <c r="Q11" s="486"/>
      <c r="R11" s="145"/>
      <c r="S11" s="54"/>
      <c r="T11" s="94"/>
      <c r="U11" s="3"/>
      <c r="V11" s="484"/>
      <c r="W11" s="484"/>
      <c r="X11" s="94"/>
      <c r="Y11" s="3"/>
      <c r="Z11" s="563"/>
      <c r="AA11" s="563"/>
    </row>
    <row r="12" spans="2:27" ht="17.100000000000001" customHeight="1">
      <c r="B12" s="521">
        <f>N6+1</f>
        <v>8</v>
      </c>
      <c r="C12" s="522"/>
      <c r="D12" s="500">
        <f>B12+1</f>
        <v>9</v>
      </c>
      <c r="E12" s="501"/>
      <c r="F12" s="500">
        <f>D12+1</f>
        <v>10</v>
      </c>
      <c r="G12" s="501"/>
      <c r="H12" s="500">
        <f t="shared" ref="H12" si="5">F12+1</f>
        <v>11</v>
      </c>
      <c r="I12" s="501"/>
      <c r="J12" s="500">
        <f t="shared" ref="J12" si="6">H12+1</f>
        <v>12</v>
      </c>
      <c r="K12" s="501"/>
      <c r="L12" s="500">
        <f t="shared" ref="L12" si="7">J12+1</f>
        <v>13</v>
      </c>
      <c r="M12" s="501"/>
      <c r="N12" s="502">
        <f t="shared" ref="N12" si="8">L12+1</f>
        <v>14</v>
      </c>
      <c r="O12" s="503"/>
      <c r="P12" s="31"/>
      <c r="Q12" s="486"/>
      <c r="R12" s="147"/>
      <c r="S12" s="54"/>
      <c r="T12" s="94"/>
      <c r="U12" s="3"/>
      <c r="V12" s="484"/>
      <c r="W12" s="484"/>
      <c r="X12" s="94"/>
      <c r="Y12" s="94"/>
      <c r="Z12" s="555"/>
      <c r="AA12" s="476"/>
    </row>
    <row r="13" spans="2:27" ht="17.100000000000001" customHeight="1">
      <c r="B13" s="43"/>
      <c r="C13" s="36"/>
      <c r="D13" s="494"/>
      <c r="E13" s="495"/>
      <c r="F13" s="494"/>
      <c r="G13" s="495"/>
      <c r="H13" s="494"/>
      <c r="I13" s="495"/>
      <c r="J13" s="494"/>
      <c r="K13" s="495"/>
      <c r="L13" s="35"/>
      <c r="M13" s="36"/>
      <c r="N13" s="35"/>
      <c r="O13" s="43"/>
      <c r="P13" s="31"/>
      <c r="Q13" s="486"/>
      <c r="R13" s="144"/>
      <c r="S13" s="53"/>
      <c r="T13" s="94"/>
      <c r="U13" s="3"/>
      <c r="V13" s="563"/>
      <c r="W13" s="563"/>
      <c r="X13" s="94"/>
      <c r="Y13" s="13"/>
      <c r="Z13" s="13"/>
      <c r="AA13" s="13"/>
    </row>
    <row r="14" spans="2:27" ht="17.100000000000001" customHeight="1">
      <c r="B14" s="43"/>
      <c r="C14" s="36"/>
      <c r="D14" s="494"/>
      <c r="E14" s="495"/>
      <c r="F14" s="494"/>
      <c r="G14" s="495"/>
      <c r="H14" s="494"/>
      <c r="I14" s="495"/>
      <c r="J14" s="494"/>
      <c r="K14" s="495"/>
      <c r="L14" s="78"/>
      <c r="M14" s="79"/>
      <c r="N14" s="78"/>
      <c r="O14" s="60"/>
      <c r="P14" s="31"/>
      <c r="Q14" s="486"/>
      <c r="R14" s="144"/>
      <c r="S14" s="53"/>
      <c r="T14" s="94"/>
      <c r="U14" s="3"/>
      <c r="V14" s="570"/>
      <c r="W14" s="570"/>
      <c r="X14" s="94"/>
      <c r="Y14" s="483"/>
      <c r="Z14" s="155"/>
      <c r="AA14" s="156"/>
    </row>
    <row r="15" spans="2:27" ht="17.100000000000001" customHeight="1">
      <c r="B15" s="43"/>
      <c r="C15" s="36"/>
      <c r="D15" s="35"/>
      <c r="E15" s="36"/>
      <c r="F15" s="35"/>
      <c r="G15" s="36"/>
      <c r="H15" s="494"/>
      <c r="I15" s="495"/>
      <c r="J15" s="494"/>
      <c r="K15" s="495"/>
      <c r="L15" s="35"/>
      <c r="M15" s="36"/>
      <c r="N15" s="35"/>
      <c r="O15" s="43"/>
      <c r="P15" s="31"/>
      <c r="Q15" s="486"/>
      <c r="R15" s="144"/>
      <c r="S15" s="53"/>
      <c r="T15" s="94"/>
      <c r="U15" s="94"/>
      <c r="V15" s="15"/>
      <c r="W15" s="15"/>
      <c r="X15" s="94"/>
      <c r="Y15" s="483"/>
      <c r="Z15" s="157"/>
      <c r="AA15" s="156"/>
    </row>
    <row r="16" spans="2:27" ht="17.100000000000001" customHeight="1" thickBot="1">
      <c r="B16" s="43"/>
      <c r="C16" s="36"/>
      <c r="D16" s="35"/>
      <c r="E16" s="36"/>
      <c r="F16" s="35"/>
      <c r="G16" s="36"/>
      <c r="H16" s="35"/>
      <c r="I16" s="36"/>
      <c r="J16" s="35"/>
      <c r="K16" s="36"/>
      <c r="L16" s="78"/>
      <c r="M16" s="79"/>
      <c r="N16" s="78"/>
      <c r="O16" s="60"/>
      <c r="P16" s="31"/>
      <c r="Q16" s="530"/>
      <c r="R16" s="148"/>
      <c r="S16" s="149"/>
      <c r="T16" s="94"/>
      <c r="U16" s="94"/>
      <c r="V16" s="483"/>
      <c r="W16" s="483"/>
      <c r="X16" s="94"/>
      <c r="Y16" s="483"/>
      <c r="Z16" s="19"/>
      <c r="AA16" s="156"/>
    </row>
    <row r="17" spans="1:27" ht="17.100000000000001" customHeight="1" thickBot="1">
      <c r="B17" s="61"/>
      <c r="C17" s="61"/>
      <c r="D17" s="80"/>
      <c r="E17" s="81"/>
      <c r="F17" s="494"/>
      <c r="G17" s="495"/>
      <c r="H17" s="80"/>
      <c r="I17" s="81"/>
      <c r="J17" s="80"/>
      <c r="K17" s="81"/>
      <c r="L17" s="80"/>
      <c r="M17" s="81"/>
      <c r="N17" s="80"/>
      <c r="O17" s="61"/>
      <c r="P17" s="31"/>
      <c r="Q17" s="55" t="s">
        <v>10</v>
      </c>
      <c r="R17" s="534">
        <f>SUM(S6:S16)*88000</f>
        <v>0</v>
      </c>
      <c r="S17" s="535"/>
      <c r="T17" s="94"/>
      <c r="U17" s="94"/>
      <c r="V17" s="483"/>
      <c r="W17" s="483"/>
      <c r="X17" s="94"/>
      <c r="Y17" s="483"/>
      <c r="Z17" s="157"/>
      <c r="AA17" s="156"/>
    </row>
    <row r="18" spans="1:27" ht="17.100000000000001" customHeight="1">
      <c r="B18" s="521">
        <f>N12+1</f>
        <v>15</v>
      </c>
      <c r="C18" s="522"/>
      <c r="D18" s="500">
        <f>B18+1</f>
        <v>16</v>
      </c>
      <c r="E18" s="501"/>
      <c r="F18" s="500">
        <f>D18+1</f>
        <v>17</v>
      </c>
      <c r="G18" s="501"/>
      <c r="H18" s="500">
        <f t="shared" ref="H18" si="9">F18+1</f>
        <v>18</v>
      </c>
      <c r="I18" s="501"/>
      <c r="J18" s="500">
        <f t="shared" ref="J18" si="10">H18+1</f>
        <v>19</v>
      </c>
      <c r="K18" s="501"/>
      <c r="L18" s="500">
        <f t="shared" ref="L18" si="11">J18+1</f>
        <v>20</v>
      </c>
      <c r="M18" s="501"/>
      <c r="N18" s="502">
        <f t="shared" ref="N18" si="12">L18+1</f>
        <v>21</v>
      </c>
      <c r="O18" s="503"/>
      <c r="P18" s="31"/>
      <c r="Q18" s="94"/>
      <c r="R18" s="483"/>
      <c r="S18" s="483"/>
      <c r="T18" s="94"/>
      <c r="U18" s="94"/>
      <c r="V18" s="483"/>
      <c r="W18" s="483"/>
      <c r="X18" s="94"/>
      <c r="Y18" s="483"/>
      <c r="Z18" s="157"/>
      <c r="AA18" s="156"/>
    </row>
    <row r="19" spans="1:27" ht="17.100000000000001" customHeight="1">
      <c r="B19" s="43"/>
      <c r="C19" s="36"/>
      <c r="D19" s="494"/>
      <c r="E19" s="495"/>
      <c r="F19" s="494"/>
      <c r="G19" s="495"/>
      <c r="H19" s="494"/>
      <c r="I19" s="495"/>
      <c r="J19" s="494"/>
      <c r="K19" s="495"/>
      <c r="L19" s="494"/>
      <c r="M19" s="495"/>
      <c r="N19" s="494"/>
      <c r="O19" s="496"/>
      <c r="P19" s="31"/>
      <c r="Q19" s="94"/>
      <c r="R19" s="483"/>
      <c r="S19" s="483"/>
      <c r="T19" s="94"/>
      <c r="U19" s="94"/>
      <c r="V19" s="483"/>
      <c r="W19" s="483"/>
      <c r="X19" s="94"/>
      <c r="Y19" s="483"/>
      <c r="Z19" s="157"/>
      <c r="AA19" s="156"/>
    </row>
    <row r="20" spans="1:27" ht="17.100000000000001" customHeight="1">
      <c r="B20" s="60"/>
      <c r="C20" s="79"/>
      <c r="D20" s="494"/>
      <c r="E20" s="495"/>
      <c r="F20" s="494"/>
      <c r="G20" s="495"/>
      <c r="H20" s="494"/>
      <c r="I20" s="495"/>
      <c r="J20" s="494"/>
      <c r="K20" s="495"/>
      <c r="L20" s="494"/>
      <c r="M20" s="495"/>
      <c r="N20" s="494"/>
      <c r="O20" s="496"/>
      <c r="P20" s="31"/>
      <c r="Q20" s="94"/>
      <c r="R20" s="483"/>
      <c r="S20" s="483"/>
      <c r="T20" s="94"/>
      <c r="U20" s="94"/>
      <c r="V20" s="564"/>
      <c r="W20" s="564"/>
      <c r="X20" s="94"/>
      <c r="Y20" s="483"/>
      <c r="Z20" s="19"/>
      <c r="AA20" s="156"/>
    </row>
    <row r="21" spans="1:27" ht="17.100000000000001" customHeight="1">
      <c r="B21" s="43"/>
      <c r="C21" s="36"/>
      <c r="D21" s="494"/>
      <c r="E21" s="495"/>
      <c r="F21" s="494"/>
      <c r="G21" s="495"/>
      <c r="H21" s="494"/>
      <c r="I21" s="495"/>
      <c r="J21" s="494"/>
      <c r="K21" s="495"/>
      <c r="L21" s="95"/>
      <c r="M21" s="96"/>
      <c r="N21" s="95"/>
      <c r="O21" s="150"/>
      <c r="P21" s="31"/>
      <c r="Q21" s="94"/>
      <c r="R21" s="484"/>
      <c r="S21" s="484"/>
      <c r="T21" s="94"/>
      <c r="U21" s="94"/>
      <c r="V21" s="564"/>
      <c r="W21" s="564"/>
      <c r="X21" s="94"/>
      <c r="Y21" s="483"/>
      <c r="Z21" s="19"/>
      <c r="AA21" s="156"/>
    </row>
    <row r="22" spans="1:27" ht="17.100000000000001" customHeight="1">
      <c r="A22" s="30"/>
      <c r="B22" s="43"/>
      <c r="C22" s="36"/>
      <c r="D22" s="43"/>
      <c r="E22" s="36"/>
      <c r="F22" s="494"/>
      <c r="G22" s="495"/>
      <c r="H22" s="494"/>
      <c r="I22" s="495"/>
      <c r="J22" s="494"/>
      <c r="K22" s="495"/>
      <c r="L22" s="95"/>
      <c r="M22" s="96"/>
      <c r="N22" s="95"/>
      <c r="O22" s="150"/>
      <c r="P22" s="31"/>
      <c r="Q22" s="94"/>
      <c r="R22" s="484"/>
      <c r="S22" s="484"/>
      <c r="T22" s="94"/>
      <c r="U22" s="94"/>
      <c r="V22" s="483"/>
      <c r="W22" s="483"/>
      <c r="X22" s="94"/>
      <c r="Y22" s="483"/>
      <c r="Z22" s="19"/>
      <c r="AA22" s="156"/>
    </row>
    <row r="23" spans="1:27" ht="17.100000000000001" customHeight="1">
      <c r="A23" s="30"/>
      <c r="B23" s="43"/>
      <c r="C23" s="36"/>
      <c r="D23" s="43"/>
      <c r="E23" s="36"/>
      <c r="F23" s="43"/>
      <c r="G23" s="36"/>
      <c r="H23" s="43"/>
      <c r="I23" s="36"/>
      <c r="J23" s="494"/>
      <c r="K23" s="495"/>
      <c r="L23" s="95"/>
      <c r="M23" s="96"/>
      <c r="N23" s="95"/>
      <c r="O23" s="150"/>
      <c r="P23" s="31"/>
      <c r="Q23" s="94"/>
      <c r="R23" s="483"/>
      <c r="S23" s="483"/>
      <c r="T23" s="94"/>
      <c r="U23" s="94"/>
      <c r="V23" s="555"/>
      <c r="W23" s="555"/>
      <c r="X23" s="94"/>
      <c r="Y23" s="482"/>
      <c r="Z23" s="482"/>
      <c r="AA23" s="482"/>
    </row>
    <row r="24" spans="1:27" ht="17.100000000000001" customHeight="1">
      <c r="B24" s="43"/>
      <c r="C24" s="36"/>
      <c r="D24" s="35"/>
      <c r="E24" s="36"/>
      <c r="F24" s="35"/>
      <c r="G24" s="36"/>
      <c r="H24" s="35"/>
      <c r="I24" s="36"/>
      <c r="J24" s="494"/>
      <c r="K24" s="495"/>
      <c r="L24" s="95"/>
      <c r="M24" s="96"/>
      <c r="N24" s="95"/>
      <c r="O24" s="150"/>
      <c r="P24" s="31"/>
      <c r="Q24" s="94"/>
      <c r="R24" s="476"/>
      <c r="S24" s="476"/>
      <c r="T24" s="94"/>
      <c r="U24" s="15"/>
      <c r="V24" s="50"/>
      <c r="W24" s="50"/>
      <c r="X24" s="94"/>
      <c r="Y24" s="94"/>
      <c r="Z24" s="571"/>
      <c r="AA24" s="571"/>
    </row>
    <row r="25" spans="1:27" ht="17.100000000000001" customHeight="1">
      <c r="B25" s="61"/>
      <c r="C25" s="61"/>
      <c r="D25" s="97"/>
      <c r="E25" s="98"/>
      <c r="F25" s="97"/>
      <c r="G25" s="98"/>
      <c r="H25" s="97"/>
      <c r="I25" s="98"/>
      <c r="J25" s="494"/>
      <c r="K25" s="495"/>
      <c r="L25" s="97"/>
      <c r="M25" s="98"/>
      <c r="N25" s="97"/>
      <c r="O25" s="61"/>
      <c r="P25" s="31"/>
      <c r="Q25" s="94"/>
      <c r="R25" s="94"/>
      <c r="S25" s="94"/>
      <c r="T25" s="94"/>
      <c r="U25" s="94"/>
      <c r="V25" s="483"/>
      <c r="W25" s="483"/>
      <c r="X25" s="94"/>
      <c r="Y25" s="13"/>
      <c r="Z25" s="13"/>
      <c r="AA25" s="13"/>
    </row>
    <row r="26" spans="1:27" ht="17.100000000000001" customHeight="1">
      <c r="B26" s="521">
        <f>N18+1</f>
        <v>22</v>
      </c>
      <c r="C26" s="522"/>
      <c r="D26" s="500">
        <f>B26+1</f>
        <v>23</v>
      </c>
      <c r="E26" s="501"/>
      <c r="F26" s="500">
        <f>D26+1</f>
        <v>24</v>
      </c>
      <c r="G26" s="501"/>
      <c r="H26" s="500">
        <f t="shared" ref="H26" si="13">F26+1</f>
        <v>25</v>
      </c>
      <c r="I26" s="501"/>
      <c r="J26" s="500">
        <f t="shared" ref="J26" si="14">H26+1</f>
        <v>26</v>
      </c>
      <c r="K26" s="501"/>
      <c r="L26" s="500">
        <f t="shared" ref="L26" si="15">J26+1</f>
        <v>27</v>
      </c>
      <c r="M26" s="501"/>
      <c r="N26" s="502">
        <f t="shared" ref="N26" si="16">L26+1</f>
        <v>28</v>
      </c>
      <c r="O26" s="503"/>
      <c r="P26" s="31"/>
      <c r="Q26" s="94"/>
      <c r="R26" s="557"/>
      <c r="S26" s="557"/>
      <c r="T26" s="94"/>
      <c r="U26" s="94"/>
      <c r="V26" s="483"/>
      <c r="W26" s="483"/>
      <c r="X26" s="94"/>
      <c r="Y26" s="13"/>
      <c r="Z26" s="13"/>
      <c r="AA26" s="13"/>
    </row>
    <row r="27" spans="1:27" ht="17.100000000000001" customHeight="1">
      <c r="A27" s="21"/>
      <c r="B27" s="496"/>
      <c r="C27" s="495"/>
      <c r="D27" s="494"/>
      <c r="E27" s="495"/>
      <c r="F27" s="494"/>
      <c r="G27" s="495"/>
      <c r="H27" s="494"/>
      <c r="I27" s="495"/>
      <c r="J27" s="494"/>
      <c r="K27" s="495"/>
      <c r="L27" s="35"/>
      <c r="M27" s="36"/>
      <c r="N27" s="37"/>
      <c r="O27" s="34"/>
      <c r="P27" s="31"/>
      <c r="Q27" s="94"/>
      <c r="R27" s="483"/>
      <c r="S27" s="483"/>
      <c r="T27" s="94"/>
      <c r="U27" s="94"/>
      <c r="V27" s="483"/>
      <c r="W27" s="483"/>
      <c r="X27" s="94"/>
      <c r="Y27" s="13"/>
      <c r="Z27" s="13"/>
      <c r="AA27" s="13"/>
    </row>
    <row r="28" spans="1:27" ht="17.100000000000001" customHeight="1">
      <c r="A28" s="21"/>
      <c r="B28" s="496"/>
      <c r="C28" s="495"/>
      <c r="D28" s="494"/>
      <c r="E28" s="495"/>
      <c r="F28" s="494"/>
      <c r="G28" s="495"/>
      <c r="H28" s="494"/>
      <c r="I28" s="495"/>
      <c r="J28" s="494"/>
      <c r="K28" s="495"/>
      <c r="L28" s="35"/>
      <c r="M28" s="36"/>
      <c r="N28" s="37"/>
      <c r="O28" s="34"/>
      <c r="P28" s="31"/>
      <c r="Q28" s="94"/>
      <c r="R28" s="483"/>
      <c r="S28" s="483"/>
      <c r="T28" s="94"/>
      <c r="U28" s="94"/>
      <c r="V28" s="483"/>
      <c r="W28" s="483"/>
      <c r="X28" s="94"/>
      <c r="Y28" s="13"/>
      <c r="Z28" s="13"/>
      <c r="AA28" s="13"/>
    </row>
    <row r="29" spans="1:27" ht="17.100000000000001" customHeight="1">
      <c r="B29" s="150"/>
      <c r="C29" s="150"/>
      <c r="D29" s="494"/>
      <c r="E29" s="495"/>
      <c r="F29" s="494"/>
      <c r="G29" s="495"/>
      <c r="H29" s="494"/>
      <c r="I29" s="495"/>
      <c r="J29" s="95"/>
      <c r="K29" s="96"/>
      <c r="L29" s="95"/>
      <c r="M29" s="79"/>
      <c r="N29" s="37"/>
      <c r="O29" s="34"/>
      <c r="P29" s="31"/>
      <c r="Q29" s="94"/>
      <c r="R29" s="483"/>
      <c r="S29" s="483"/>
      <c r="T29" s="94"/>
      <c r="U29" s="94"/>
      <c r="V29" s="564"/>
      <c r="W29" s="564"/>
      <c r="X29" s="94"/>
      <c r="Y29" s="13"/>
      <c r="Z29" s="13"/>
      <c r="AA29" s="13"/>
    </row>
    <row r="30" spans="1:27" ht="17.100000000000001" customHeight="1">
      <c r="B30" s="150"/>
      <c r="C30" s="96"/>
      <c r="D30" s="150"/>
      <c r="E30" s="150"/>
      <c r="F30" s="35"/>
      <c r="G30" s="36"/>
      <c r="H30" s="35"/>
      <c r="I30" s="36"/>
      <c r="J30" s="95"/>
      <c r="K30" s="96"/>
      <c r="L30" s="95"/>
      <c r="M30" s="79"/>
      <c r="N30" s="37"/>
      <c r="O30" s="34"/>
      <c r="P30" s="31"/>
      <c r="Q30" s="94"/>
      <c r="R30" s="484"/>
      <c r="S30" s="484"/>
      <c r="T30" s="94"/>
      <c r="U30" s="94"/>
      <c r="V30" s="564"/>
      <c r="W30" s="564"/>
      <c r="X30" s="94"/>
      <c r="Y30" s="13"/>
      <c r="Z30" s="13"/>
      <c r="AA30" s="13"/>
    </row>
    <row r="31" spans="1:27" ht="17.100000000000001" customHeight="1">
      <c r="B31" s="61"/>
      <c r="C31" s="98"/>
      <c r="D31" s="61"/>
      <c r="E31" s="98"/>
      <c r="F31" s="97"/>
      <c r="G31" s="98"/>
      <c r="H31" s="97"/>
      <c r="I31" s="98"/>
      <c r="J31" s="97"/>
      <c r="K31" s="98"/>
      <c r="L31" s="97"/>
      <c r="M31" s="42"/>
      <c r="N31" s="41"/>
      <c r="O31" s="40"/>
      <c r="P31" s="31"/>
      <c r="Q31" s="94"/>
      <c r="R31" s="484"/>
      <c r="S31" s="484"/>
      <c r="T31" s="94"/>
      <c r="U31" s="94"/>
      <c r="V31" s="483"/>
      <c r="W31" s="483"/>
      <c r="X31" s="94"/>
      <c r="Y31" s="13"/>
      <c r="Z31" s="13"/>
      <c r="AA31" s="13"/>
    </row>
    <row r="32" spans="1:27" ht="17.100000000000001" customHeight="1">
      <c r="B32" s="521">
        <f>N26+1</f>
        <v>29</v>
      </c>
      <c r="C32" s="522"/>
      <c r="D32" s="500">
        <f>B32+1</f>
        <v>30</v>
      </c>
      <c r="E32" s="501"/>
      <c r="F32" s="499"/>
      <c r="G32" s="498"/>
      <c r="H32" s="499"/>
      <c r="I32" s="498"/>
      <c r="J32" s="499"/>
      <c r="K32" s="498"/>
      <c r="L32" s="499"/>
      <c r="M32" s="498"/>
      <c r="N32" s="526"/>
      <c r="O32" s="527"/>
      <c r="P32" s="31"/>
      <c r="Q32" s="94"/>
      <c r="R32" s="484"/>
      <c r="S32" s="484"/>
      <c r="T32" s="94"/>
      <c r="U32" s="94"/>
      <c r="V32" s="555"/>
      <c r="W32" s="555"/>
      <c r="X32" s="94"/>
      <c r="Y32" s="13"/>
      <c r="Z32" s="13"/>
      <c r="AA32" s="13"/>
    </row>
    <row r="33" spans="2:27" ht="17.100000000000001" customHeight="1">
      <c r="B33" s="43"/>
      <c r="C33" s="36"/>
      <c r="D33" s="494"/>
      <c r="E33" s="495"/>
      <c r="F33" s="494"/>
      <c r="G33" s="495"/>
      <c r="H33" s="494"/>
      <c r="I33" s="495"/>
      <c r="J33" s="494"/>
      <c r="K33" s="495"/>
      <c r="L33" s="494"/>
      <c r="M33" s="495"/>
      <c r="N33" s="494"/>
      <c r="O33" s="496"/>
      <c r="P33" s="33"/>
      <c r="Q33" s="94"/>
      <c r="R33" s="483"/>
      <c r="S33" s="483"/>
      <c r="T33" s="94"/>
      <c r="U33" s="94"/>
      <c r="V33" s="15"/>
      <c r="W33" s="15"/>
      <c r="X33" s="94"/>
      <c r="Y33" s="13"/>
      <c r="Z33" s="13"/>
      <c r="AA33" s="13"/>
    </row>
    <row r="34" spans="2:27" ht="17.100000000000001" customHeight="1">
      <c r="B34" s="60"/>
      <c r="C34" s="79"/>
      <c r="D34" s="494"/>
      <c r="E34" s="495"/>
      <c r="F34" s="494"/>
      <c r="G34" s="495"/>
      <c r="H34" s="494"/>
      <c r="I34" s="495"/>
      <c r="J34" s="494"/>
      <c r="K34" s="495"/>
      <c r="L34" s="95"/>
      <c r="M34" s="96"/>
      <c r="N34" s="95"/>
      <c r="O34" s="150"/>
      <c r="P34" s="33"/>
      <c r="Q34" s="94"/>
      <c r="R34" s="476"/>
      <c r="S34" s="476"/>
      <c r="T34" s="94"/>
      <c r="U34" s="94"/>
      <c r="V34" s="483"/>
      <c r="W34" s="483"/>
      <c r="X34" s="94"/>
      <c r="Y34" s="13"/>
      <c r="Z34" s="13"/>
      <c r="AA34" s="13"/>
    </row>
    <row r="35" spans="2:27" ht="17.100000000000001" customHeight="1">
      <c r="B35" s="60"/>
      <c r="C35" s="60"/>
      <c r="D35" s="494"/>
      <c r="E35" s="495"/>
      <c r="F35" s="494"/>
      <c r="G35" s="495"/>
      <c r="H35" s="95"/>
      <c r="I35" s="96"/>
      <c r="J35" s="95"/>
      <c r="K35" s="96"/>
      <c r="L35" s="95"/>
      <c r="M35" s="96"/>
      <c r="N35" s="95"/>
      <c r="O35" s="150"/>
      <c r="P35" s="33"/>
      <c r="Q35" s="13"/>
      <c r="R35" s="13"/>
      <c r="S35" s="13"/>
      <c r="T35" s="94"/>
      <c r="U35" s="94"/>
      <c r="V35" s="483"/>
      <c r="W35" s="483"/>
      <c r="X35" s="94"/>
      <c r="Y35" s="13"/>
      <c r="Z35" s="13"/>
      <c r="AA35" s="13"/>
    </row>
    <row r="36" spans="2:27" ht="17.100000000000001" customHeight="1">
      <c r="B36" s="34"/>
      <c r="C36" s="34"/>
      <c r="D36" s="95"/>
      <c r="E36" s="96"/>
      <c r="F36" s="95"/>
      <c r="G36" s="96"/>
      <c r="H36" s="95"/>
      <c r="I36" s="96"/>
      <c r="J36" s="95"/>
      <c r="K36" s="96"/>
      <c r="L36" s="95"/>
      <c r="M36" s="96"/>
      <c r="N36" s="95"/>
      <c r="O36" s="150"/>
      <c r="P36" s="33"/>
      <c r="Q36" s="94"/>
      <c r="R36" s="557"/>
      <c r="S36" s="557"/>
      <c r="T36" s="94"/>
      <c r="U36" s="94"/>
      <c r="V36" s="483"/>
      <c r="W36" s="483"/>
      <c r="X36" s="94"/>
      <c r="Y36" s="13"/>
      <c r="Z36" s="13"/>
      <c r="AA36" s="13"/>
    </row>
    <row r="37" spans="2:27" ht="17.100000000000001" customHeight="1">
      <c r="B37" s="40"/>
      <c r="C37" s="40"/>
      <c r="D37" s="41"/>
      <c r="E37" s="42"/>
      <c r="F37" s="41"/>
      <c r="G37" s="42"/>
      <c r="H37" s="41"/>
      <c r="I37" s="42"/>
      <c r="J37" s="41"/>
      <c r="K37" s="42"/>
      <c r="L37" s="80"/>
      <c r="M37" s="81"/>
      <c r="N37" s="80"/>
      <c r="O37" s="61"/>
      <c r="P37" s="31"/>
      <c r="Q37" s="94"/>
      <c r="R37" s="483"/>
      <c r="S37" s="483"/>
      <c r="T37" s="94"/>
      <c r="U37" s="94"/>
      <c r="V37" s="483"/>
      <c r="W37" s="483"/>
      <c r="X37" s="94"/>
      <c r="Y37" s="13"/>
      <c r="Z37" s="13"/>
      <c r="AA37" s="13"/>
    </row>
    <row r="38" spans="2:27" ht="17.100000000000001" customHeight="1">
      <c r="B38" s="558"/>
      <c r="C38" s="567"/>
      <c r="D38" s="499"/>
      <c r="E38" s="498"/>
      <c r="F38" s="499"/>
      <c r="G38" s="498"/>
      <c r="H38" s="568"/>
      <c r="I38" s="569"/>
      <c r="J38" s="568"/>
      <c r="K38" s="569"/>
      <c r="L38" s="499"/>
      <c r="M38" s="498"/>
      <c r="N38" s="499"/>
      <c r="O38" s="497"/>
      <c r="P38" s="31"/>
      <c r="Q38" s="94"/>
      <c r="R38" s="483"/>
      <c r="S38" s="483"/>
      <c r="T38" s="94"/>
      <c r="U38" s="94"/>
      <c r="V38" s="484"/>
      <c r="W38" s="484"/>
      <c r="X38" s="94"/>
      <c r="Y38" s="13"/>
      <c r="Z38" s="13"/>
      <c r="AA38" s="13"/>
    </row>
    <row r="39" spans="2:27" ht="17.100000000000001" customHeight="1">
      <c r="B39" s="496"/>
      <c r="C39" s="495"/>
      <c r="D39" s="37"/>
      <c r="E39" s="38"/>
      <c r="F39" s="37"/>
      <c r="G39" s="38"/>
      <c r="H39" s="37"/>
      <c r="I39" s="38"/>
      <c r="J39" s="37"/>
      <c r="K39" s="38"/>
      <c r="L39" s="37"/>
      <c r="M39" s="38"/>
      <c r="N39" s="37"/>
      <c r="O39" s="34"/>
      <c r="P39" s="77"/>
      <c r="Q39" s="94"/>
      <c r="R39" s="483"/>
      <c r="S39" s="483"/>
      <c r="T39" s="94"/>
      <c r="U39" s="94"/>
      <c r="V39" s="483"/>
      <c r="W39" s="483"/>
      <c r="X39" s="94"/>
      <c r="Y39" s="13"/>
      <c r="Z39" s="13"/>
      <c r="AA39" s="13"/>
    </row>
    <row r="40" spans="2:27" ht="17.100000000000001" customHeight="1">
      <c r="B40" s="34"/>
      <c r="C40" s="34"/>
      <c r="D40" s="37"/>
      <c r="E40" s="38"/>
      <c r="F40" s="37"/>
      <c r="G40" s="38"/>
      <c r="H40" s="37"/>
      <c r="I40" s="38"/>
      <c r="J40" s="37"/>
      <c r="K40" s="38"/>
      <c r="L40" s="37"/>
      <c r="M40" s="38"/>
      <c r="N40" s="37"/>
      <c r="O40" s="34"/>
      <c r="P40" s="77"/>
      <c r="Q40" s="94"/>
      <c r="R40" s="484"/>
      <c r="S40" s="484"/>
      <c r="T40" s="94"/>
      <c r="U40" s="94"/>
      <c r="V40" s="555"/>
      <c r="W40" s="555"/>
      <c r="X40" s="94"/>
      <c r="Y40" s="13"/>
      <c r="Z40" s="13"/>
      <c r="AA40" s="13"/>
    </row>
    <row r="41" spans="2:27" ht="17.100000000000001" customHeight="1">
      <c r="B41" s="46"/>
      <c r="C41" s="46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46"/>
      <c r="P41" s="77"/>
      <c r="Q41" s="94"/>
      <c r="R41" s="484"/>
      <c r="S41" s="484"/>
      <c r="T41" s="94"/>
      <c r="U41" s="3"/>
      <c r="V41" s="4"/>
      <c r="W41" s="4"/>
      <c r="X41" s="94"/>
      <c r="Y41" s="13"/>
      <c r="Z41" s="13"/>
      <c r="AA41" s="13"/>
    </row>
    <row r="42" spans="2:27" ht="17.25">
      <c r="B42" s="46"/>
      <c r="C42" s="46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46"/>
      <c r="P42" s="13"/>
      <c r="Q42" s="94"/>
      <c r="R42" s="483"/>
      <c r="S42" s="483"/>
      <c r="T42" s="13"/>
      <c r="U42" s="3"/>
      <c r="V42" s="5"/>
      <c r="W42" s="5"/>
      <c r="X42" s="13"/>
      <c r="Y42" s="13"/>
      <c r="Z42" s="13"/>
      <c r="AA42" s="13"/>
    </row>
    <row r="43" spans="2:27" ht="17.25">
      <c r="B43" s="40"/>
      <c r="C43" s="40"/>
      <c r="D43" s="41"/>
      <c r="E43" s="42"/>
      <c r="F43" s="41"/>
      <c r="G43" s="42"/>
      <c r="H43" s="41"/>
      <c r="I43" s="42"/>
      <c r="J43" s="41"/>
      <c r="K43" s="42"/>
      <c r="L43" s="41"/>
      <c r="M43" s="42"/>
      <c r="N43" s="41"/>
      <c r="O43" s="40"/>
      <c r="P43" s="13"/>
      <c r="Q43" s="94"/>
      <c r="R43" s="476"/>
      <c r="S43" s="476"/>
      <c r="T43" s="13"/>
      <c r="U43" s="3"/>
      <c r="V43" s="4"/>
      <c r="W43" s="4"/>
      <c r="X43" s="13"/>
      <c r="Y43" s="13"/>
      <c r="Z43" s="13"/>
      <c r="AA43" s="13"/>
    </row>
    <row r="44" spans="2:27">
      <c r="E44" s="8"/>
      <c r="F44" s="8"/>
      <c r="G44" s="23"/>
      <c r="H44" s="23"/>
      <c r="I44" s="18"/>
      <c r="J44" s="18"/>
      <c r="K44" s="18"/>
      <c r="L44" s="18"/>
      <c r="M44" s="18"/>
      <c r="N44" s="18"/>
      <c r="O44" s="18"/>
      <c r="P44" s="13"/>
      <c r="Q44" s="94"/>
      <c r="R44" s="12"/>
      <c r="S44" s="12"/>
      <c r="T44" s="13"/>
      <c r="U44" s="3"/>
      <c r="V44" s="16"/>
      <c r="W44" s="16"/>
      <c r="X44" s="13"/>
      <c r="Y44" s="13"/>
      <c r="Z44" s="13"/>
      <c r="AA44" s="13"/>
    </row>
    <row r="45" spans="2:27" ht="17.25"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13"/>
      <c r="Q45" s="94"/>
      <c r="R45" s="15"/>
      <c r="S45" s="15"/>
      <c r="T45" s="13"/>
      <c r="U45" s="13"/>
      <c r="V45" s="13"/>
      <c r="W45" s="13"/>
      <c r="X45" s="13"/>
      <c r="Y45" s="13"/>
      <c r="Z45" s="13"/>
      <c r="AA45" s="13"/>
    </row>
    <row r="46" spans="2:27" ht="17.25">
      <c r="B46" s="553"/>
      <c r="C46" s="553"/>
      <c r="D46" s="553"/>
      <c r="E46" s="553"/>
      <c r="F46" s="553"/>
      <c r="G46" s="553"/>
      <c r="H46" s="553"/>
      <c r="I46" s="553"/>
      <c r="J46" s="553"/>
      <c r="K46" s="553"/>
      <c r="L46" s="553"/>
      <c r="M46" s="553"/>
      <c r="N46" s="553"/>
      <c r="O46" s="553"/>
      <c r="P46" s="13"/>
      <c r="Q46" s="94"/>
      <c r="R46" s="15"/>
      <c r="S46" s="15"/>
      <c r="T46" s="13"/>
      <c r="U46" s="13"/>
      <c r="V46" s="13"/>
      <c r="W46" s="13"/>
      <c r="X46" s="13"/>
      <c r="Y46" s="13"/>
      <c r="Z46" s="13"/>
      <c r="AA46" s="13"/>
    </row>
    <row r="47" spans="2:27" ht="17.25">
      <c r="B47" s="553"/>
      <c r="C47" s="553"/>
      <c r="D47" s="554"/>
      <c r="E47" s="553"/>
      <c r="F47" s="554"/>
      <c r="G47" s="553"/>
      <c r="H47" s="554"/>
      <c r="I47" s="553"/>
      <c r="J47" s="554"/>
      <c r="K47" s="553"/>
      <c r="L47" s="554"/>
      <c r="M47" s="553"/>
      <c r="N47" s="554"/>
      <c r="O47" s="553"/>
      <c r="Q47" s="3"/>
      <c r="R47" s="4"/>
      <c r="S47" s="4"/>
      <c r="U47" s="8"/>
      <c r="V47" s="19"/>
      <c r="W47" s="18"/>
    </row>
    <row r="48" spans="2:27" ht="17.25"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Q48" s="3"/>
      <c r="R48" s="5"/>
      <c r="S48" s="5"/>
      <c r="U48" s="8"/>
      <c r="V48" s="19"/>
      <c r="W48" s="18"/>
    </row>
    <row r="49" spans="2:23" ht="17.25"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Q49" s="3"/>
      <c r="R49" s="4"/>
      <c r="S49" s="4"/>
      <c r="U49" s="13"/>
      <c r="V49" s="20"/>
      <c r="W49" s="20"/>
    </row>
    <row r="50" spans="2:23" ht="17.25"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Q50" s="3"/>
      <c r="R50" s="16"/>
      <c r="S50" s="16"/>
    </row>
    <row r="51" spans="2:23" ht="17.25">
      <c r="B51" s="553"/>
      <c r="C51" s="553"/>
      <c r="D51" s="554"/>
      <c r="E51" s="553"/>
      <c r="F51" s="554"/>
      <c r="G51" s="553"/>
      <c r="H51" s="554"/>
      <c r="I51" s="553"/>
      <c r="J51" s="554"/>
      <c r="K51" s="553"/>
      <c r="L51" s="554"/>
      <c r="M51" s="553"/>
      <c r="N51" s="554"/>
      <c r="O51" s="553"/>
      <c r="Q51" s="13"/>
      <c r="R51" s="13"/>
      <c r="S51" s="13"/>
    </row>
  </sheetData>
  <mergeCells count="222">
    <mergeCell ref="B51:C51"/>
    <mergeCell ref="D51:E51"/>
    <mergeCell ref="F51:G51"/>
    <mergeCell ref="H51:I51"/>
    <mergeCell ref="J51:K51"/>
    <mergeCell ref="L51:M51"/>
    <mergeCell ref="N51:O51"/>
    <mergeCell ref="B49:C49"/>
    <mergeCell ref="D49:E49"/>
    <mergeCell ref="F49:G49"/>
    <mergeCell ref="H49:I49"/>
    <mergeCell ref="J49:K49"/>
    <mergeCell ref="L49:M49"/>
    <mergeCell ref="N49:O49"/>
    <mergeCell ref="B50:C50"/>
    <mergeCell ref="D50:E50"/>
    <mergeCell ref="F50:G50"/>
    <mergeCell ref="H50:I50"/>
    <mergeCell ref="J50:K50"/>
    <mergeCell ref="L50:M50"/>
    <mergeCell ref="N50:O50"/>
    <mergeCell ref="B46:C46"/>
    <mergeCell ref="D46:E46"/>
    <mergeCell ref="F46:G46"/>
    <mergeCell ref="H46:I46"/>
    <mergeCell ref="J46:K46"/>
    <mergeCell ref="L46:M46"/>
    <mergeCell ref="N46:O46"/>
    <mergeCell ref="B47:C47"/>
    <mergeCell ref="D47:E47"/>
    <mergeCell ref="F47:G47"/>
    <mergeCell ref="H47:I47"/>
    <mergeCell ref="J47:K47"/>
    <mergeCell ref="L47:M47"/>
    <mergeCell ref="N47:O47"/>
    <mergeCell ref="B45:C45"/>
    <mergeCell ref="D45:E45"/>
    <mergeCell ref="F45:G45"/>
    <mergeCell ref="H45:I45"/>
    <mergeCell ref="J45:K45"/>
    <mergeCell ref="L45:M45"/>
    <mergeCell ref="N45:O45"/>
    <mergeCell ref="R41:S41"/>
    <mergeCell ref="D29:E29"/>
    <mergeCell ref="F29:G29"/>
    <mergeCell ref="H29:I29"/>
    <mergeCell ref="D33:E33"/>
    <mergeCell ref="F33:G33"/>
    <mergeCell ref="H33:I33"/>
    <mergeCell ref="J33:K33"/>
    <mergeCell ref="D34:E34"/>
    <mergeCell ref="D38:E38"/>
    <mergeCell ref="F38:G38"/>
    <mergeCell ref="H38:I38"/>
    <mergeCell ref="J38:K38"/>
    <mergeCell ref="F35:G35"/>
    <mergeCell ref="B38:C38"/>
    <mergeCell ref="B32:C32"/>
    <mergeCell ref="L33:M33"/>
    <mergeCell ref="B28:C28"/>
    <mergeCell ref="D27:E27"/>
    <mergeCell ref="F27:G27"/>
    <mergeCell ref="V6:W6"/>
    <mergeCell ref="V7:W7"/>
    <mergeCell ref="V8:W8"/>
    <mergeCell ref="V9:W9"/>
    <mergeCell ref="V10:W10"/>
    <mergeCell ref="R24:S24"/>
    <mergeCell ref="R17:S17"/>
    <mergeCell ref="R18:S18"/>
    <mergeCell ref="R19:S19"/>
    <mergeCell ref="R20:S20"/>
    <mergeCell ref="F28:G28"/>
    <mergeCell ref="H28:I28"/>
    <mergeCell ref="D28:E28"/>
    <mergeCell ref="H26:I26"/>
    <mergeCell ref="J25:K25"/>
    <mergeCell ref="J21:K21"/>
    <mergeCell ref="J27:K27"/>
    <mergeCell ref="J28:K28"/>
    <mergeCell ref="V16:W16"/>
    <mergeCell ref="V17:W17"/>
    <mergeCell ref="V21:W21"/>
    <mergeCell ref="Z6:AA6"/>
    <mergeCell ref="Z7:AA7"/>
    <mergeCell ref="Z8:AA8"/>
    <mergeCell ref="Z9:AA9"/>
    <mergeCell ref="Z10:AA10"/>
    <mergeCell ref="Z11:AA11"/>
    <mergeCell ref="Z12:AA12"/>
    <mergeCell ref="Y23:AA23"/>
    <mergeCell ref="Y14:Y22"/>
    <mergeCell ref="V11:W11"/>
    <mergeCell ref="V12:W12"/>
    <mergeCell ref="V13:W13"/>
    <mergeCell ref="V14:W14"/>
    <mergeCell ref="R43:S43"/>
    <mergeCell ref="R31:S31"/>
    <mergeCell ref="R42:S42"/>
    <mergeCell ref="R21:S21"/>
    <mergeCell ref="V25:W25"/>
    <mergeCell ref="R33:S33"/>
    <mergeCell ref="V26:W26"/>
    <mergeCell ref="V27:W27"/>
    <mergeCell ref="V28:W28"/>
    <mergeCell ref="V29:W29"/>
    <mergeCell ref="V31:W31"/>
    <mergeCell ref="V32:W32"/>
    <mergeCell ref="V30:W30"/>
    <mergeCell ref="R32:S32"/>
    <mergeCell ref="R22:S22"/>
    <mergeCell ref="V40:W40"/>
    <mergeCell ref="R40:S40"/>
    <mergeCell ref="Z24:AA24"/>
    <mergeCell ref="L26:M26"/>
    <mergeCell ref="N32:O32"/>
    <mergeCell ref="J18:K18"/>
    <mergeCell ref="L18:M18"/>
    <mergeCell ref="N18:O18"/>
    <mergeCell ref="J32:K32"/>
    <mergeCell ref="L32:M32"/>
    <mergeCell ref="L38:M38"/>
    <mergeCell ref="N38:O38"/>
    <mergeCell ref="R26:S26"/>
    <mergeCell ref="R27:S27"/>
    <mergeCell ref="R28:S28"/>
    <mergeCell ref="R29:S29"/>
    <mergeCell ref="R30:S30"/>
    <mergeCell ref="J26:K26"/>
    <mergeCell ref="N26:O26"/>
    <mergeCell ref="R34:S34"/>
    <mergeCell ref="V18:W18"/>
    <mergeCell ref="V19:W19"/>
    <mergeCell ref="V20:W20"/>
    <mergeCell ref="V22:W22"/>
    <mergeCell ref="V23:W23"/>
    <mergeCell ref="N19:O19"/>
    <mergeCell ref="B2:O3"/>
    <mergeCell ref="Q2:S2"/>
    <mergeCell ref="Q3:S4"/>
    <mergeCell ref="B4:O4"/>
    <mergeCell ref="B5:C5"/>
    <mergeCell ref="D5:E5"/>
    <mergeCell ref="F5:G5"/>
    <mergeCell ref="H5:I5"/>
    <mergeCell ref="J5:K5"/>
    <mergeCell ref="L5:M5"/>
    <mergeCell ref="N5:O5"/>
    <mergeCell ref="J22:K22"/>
    <mergeCell ref="J23:K23"/>
    <mergeCell ref="B6:C6"/>
    <mergeCell ref="D6:E6"/>
    <mergeCell ref="F6:G6"/>
    <mergeCell ref="D12:E12"/>
    <mergeCell ref="F12:G12"/>
    <mergeCell ref="F17:G17"/>
    <mergeCell ref="D13:E13"/>
    <mergeCell ref="F13:G13"/>
    <mergeCell ref="D14:E14"/>
    <mergeCell ref="F14:G14"/>
    <mergeCell ref="B12:C12"/>
    <mergeCell ref="H19:I19"/>
    <mergeCell ref="H12:I12"/>
    <mergeCell ref="J12:K12"/>
    <mergeCell ref="D20:E20"/>
    <mergeCell ref="D21:E21"/>
    <mergeCell ref="H13:I13"/>
    <mergeCell ref="J13:K13"/>
    <mergeCell ref="H14:I14"/>
    <mergeCell ref="J14:K14"/>
    <mergeCell ref="J19:K19"/>
    <mergeCell ref="F21:G21"/>
    <mergeCell ref="D19:E19"/>
    <mergeCell ref="F19:G19"/>
    <mergeCell ref="B18:C18"/>
    <mergeCell ref="D18:E18"/>
    <mergeCell ref="F18:G18"/>
    <mergeCell ref="D26:E26"/>
    <mergeCell ref="F26:G26"/>
    <mergeCell ref="H15:I15"/>
    <mergeCell ref="F22:G22"/>
    <mergeCell ref="H22:I22"/>
    <mergeCell ref="H21:I21"/>
    <mergeCell ref="N6:O6"/>
    <mergeCell ref="L6:M6"/>
    <mergeCell ref="J6:K6"/>
    <mergeCell ref="H6:I6"/>
    <mergeCell ref="Q6:Q16"/>
    <mergeCell ref="J15:K15"/>
    <mergeCell ref="L20:M20"/>
    <mergeCell ref="N20:O20"/>
    <mergeCell ref="F20:G20"/>
    <mergeCell ref="H20:I20"/>
    <mergeCell ref="J20:K20"/>
    <mergeCell ref="L12:M12"/>
    <mergeCell ref="N12:O12"/>
    <mergeCell ref="L19:M19"/>
    <mergeCell ref="H18:I18"/>
    <mergeCell ref="N33:O33"/>
    <mergeCell ref="R23:S23"/>
    <mergeCell ref="F32:G32"/>
    <mergeCell ref="H32:I32"/>
    <mergeCell ref="B39:C39"/>
    <mergeCell ref="V34:W34"/>
    <mergeCell ref="V35:W35"/>
    <mergeCell ref="V36:W36"/>
    <mergeCell ref="V37:W37"/>
    <mergeCell ref="V38:W38"/>
    <mergeCell ref="V39:W39"/>
    <mergeCell ref="F34:G34"/>
    <mergeCell ref="H34:I34"/>
    <mergeCell ref="J34:K34"/>
    <mergeCell ref="R36:S36"/>
    <mergeCell ref="R37:S37"/>
    <mergeCell ref="R38:S38"/>
    <mergeCell ref="R39:S39"/>
    <mergeCell ref="D35:E35"/>
    <mergeCell ref="B26:C26"/>
    <mergeCell ref="D32:E32"/>
    <mergeCell ref="J24:K24"/>
    <mergeCell ref="H27:I27"/>
    <mergeCell ref="B27:C27"/>
  </mergeCells>
  <phoneticPr fontId="1" type="noConversion"/>
  <pageMargins left="0.25" right="0.25" top="0.75" bottom="0.75" header="0.3" footer="0.3"/>
  <pageSetup paperSize="9"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view="pageBreakPreview" topLeftCell="A4" zoomScale="70" zoomScaleNormal="85" zoomScaleSheetLayoutView="70" workbookViewId="0">
      <selection activeCell="AD19" sqref="AD19"/>
    </sheetView>
  </sheetViews>
  <sheetFormatPr defaultColWidth="9" defaultRowHeight="16.5"/>
  <cols>
    <col min="1" max="1" width="5.625" style="1" customWidth="1"/>
    <col min="2" max="15" width="9" style="1"/>
    <col min="16" max="16" width="5.625" style="1" customWidth="1"/>
    <col min="17" max="19" width="10.625" style="1" customWidth="1"/>
    <col min="20" max="20" width="5.625" style="1" customWidth="1"/>
    <col min="21" max="23" width="10.625" style="1" customWidth="1"/>
    <col min="24" max="24" width="9" style="1" customWidth="1"/>
    <col min="25" max="16384" width="9" style="1"/>
  </cols>
  <sheetData>
    <row r="1" spans="1:23" ht="17.25" thickBo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ht="16.5" customHeight="1">
      <c r="A2" s="31"/>
      <c r="B2" s="504" t="s">
        <v>8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31"/>
      <c r="Q2" s="506" t="s">
        <v>0</v>
      </c>
      <c r="R2" s="507"/>
      <c r="S2" s="508"/>
      <c r="T2" s="31"/>
      <c r="U2" s="31"/>
      <c r="V2" s="31"/>
      <c r="W2" s="31"/>
    </row>
    <row r="3" spans="1:23" ht="16.5" customHeight="1" thickBot="1">
      <c r="A3" s="31"/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31"/>
      <c r="Q3" s="509">
        <f>COUNTA($B$7:$O$11,$B$13:$O$17,$B$19:$O$23,$B$25:$O$29,$B$31:$O$35,$B$37:$O$41)*88000</f>
        <v>0</v>
      </c>
      <c r="R3" s="510"/>
      <c r="S3" s="511"/>
      <c r="T3" s="31"/>
      <c r="U3" s="31"/>
      <c r="V3" s="31"/>
      <c r="W3" s="31"/>
    </row>
    <row r="4" spans="1:23" ht="21.75" customHeight="1" thickBot="1">
      <c r="A4" s="31"/>
      <c r="B4" s="515" t="s">
        <v>12</v>
      </c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515"/>
      <c r="P4" s="31"/>
      <c r="Q4" s="512"/>
      <c r="R4" s="513"/>
      <c r="S4" s="514"/>
      <c r="T4" s="31"/>
      <c r="U4" s="31"/>
      <c r="V4" s="31"/>
      <c r="W4" s="31"/>
    </row>
    <row r="5" spans="1:23" ht="30" customHeight="1" thickBot="1">
      <c r="A5" s="31"/>
      <c r="B5" s="516" t="s">
        <v>4</v>
      </c>
      <c r="C5" s="517"/>
      <c r="D5" s="518" t="s">
        <v>1</v>
      </c>
      <c r="E5" s="518"/>
      <c r="F5" s="518" t="s">
        <v>5</v>
      </c>
      <c r="G5" s="518"/>
      <c r="H5" s="518" t="s">
        <v>6</v>
      </c>
      <c r="I5" s="518"/>
      <c r="J5" s="518" t="s">
        <v>2</v>
      </c>
      <c r="K5" s="518"/>
      <c r="L5" s="518" t="s">
        <v>3</v>
      </c>
      <c r="M5" s="518"/>
      <c r="N5" s="519" t="s">
        <v>7</v>
      </c>
      <c r="O5" s="520"/>
      <c r="P5" s="31"/>
      <c r="Q5" s="32"/>
      <c r="R5" s="32"/>
      <c r="S5" s="32"/>
      <c r="T5" s="31"/>
      <c r="U5" s="31"/>
      <c r="V5" s="31"/>
      <c r="W5" s="31"/>
    </row>
    <row r="6" spans="1:23" ht="17.100000000000001" customHeight="1">
      <c r="A6" s="31"/>
      <c r="B6" s="558"/>
      <c r="C6" s="567"/>
      <c r="D6" s="499"/>
      <c r="E6" s="498"/>
      <c r="F6" s="500">
        <f>D6+1</f>
        <v>1</v>
      </c>
      <c r="G6" s="501"/>
      <c r="H6" s="500">
        <f t="shared" ref="H6" si="0">F6+1</f>
        <v>2</v>
      </c>
      <c r="I6" s="501"/>
      <c r="J6" s="500">
        <f t="shared" ref="J6" si="1">H6+1</f>
        <v>3</v>
      </c>
      <c r="K6" s="501"/>
      <c r="L6" s="500">
        <f>J6+1</f>
        <v>4</v>
      </c>
      <c r="M6" s="501"/>
      <c r="N6" s="502">
        <f t="shared" ref="N6" si="2">L6+1</f>
        <v>5</v>
      </c>
      <c r="O6" s="503"/>
      <c r="P6" s="31"/>
      <c r="Q6" s="485" t="s">
        <v>9</v>
      </c>
      <c r="R6" s="123"/>
      <c r="S6" s="52"/>
      <c r="T6" s="82"/>
      <c r="U6" s="82"/>
      <c r="V6" s="12"/>
      <c r="W6" s="12"/>
    </row>
    <row r="7" spans="1:23" ht="17.100000000000001" customHeight="1">
      <c r="A7" s="31"/>
      <c r="B7" s="34"/>
      <c r="C7" s="34"/>
      <c r="D7" s="494"/>
      <c r="E7" s="496"/>
      <c r="F7" s="494"/>
      <c r="G7" s="496"/>
      <c r="H7" s="494"/>
      <c r="I7" s="496"/>
      <c r="J7" s="35"/>
      <c r="K7" s="36"/>
      <c r="L7" s="35"/>
      <c r="M7" s="36"/>
      <c r="N7" s="37"/>
      <c r="O7" s="34"/>
      <c r="P7" s="31"/>
      <c r="Q7" s="486"/>
      <c r="R7" s="124"/>
      <c r="S7" s="53"/>
      <c r="T7" s="82"/>
      <c r="U7" s="82"/>
      <c r="V7" s="15"/>
      <c r="W7" s="15"/>
    </row>
    <row r="8" spans="1:23" ht="17.100000000000001" customHeight="1">
      <c r="A8" s="31"/>
      <c r="B8" s="34"/>
      <c r="C8" s="34"/>
      <c r="D8" s="35"/>
      <c r="E8" s="36"/>
      <c r="F8" s="35"/>
      <c r="G8" s="36"/>
      <c r="H8" s="35"/>
      <c r="I8" s="36"/>
      <c r="J8" s="35"/>
      <c r="K8" s="36"/>
      <c r="L8" s="87"/>
      <c r="M8" s="84"/>
      <c r="N8" s="37"/>
      <c r="O8" s="34"/>
      <c r="P8" s="31"/>
      <c r="Q8" s="486"/>
      <c r="R8" s="144"/>
      <c r="S8" s="53"/>
      <c r="T8" s="82"/>
      <c r="U8" s="82"/>
      <c r="V8" s="15"/>
      <c r="W8" s="15"/>
    </row>
    <row r="9" spans="1:23" ht="17.100000000000001" customHeight="1">
      <c r="A9" s="31"/>
      <c r="B9" s="34"/>
      <c r="C9" s="34"/>
      <c r="D9" s="35"/>
      <c r="E9" s="36"/>
      <c r="F9" s="35"/>
      <c r="G9" s="36"/>
      <c r="H9" s="35"/>
      <c r="I9" s="36"/>
      <c r="J9" s="35"/>
      <c r="K9" s="36"/>
      <c r="L9" s="83"/>
      <c r="M9" s="84"/>
      <c r="N9" s="37"/>
      <c r="O9" s="34"/>
      <c r="P9" s="31"/>
      <c r="Q9" s="486"/>
      <c r="R9" s="145"/>
      <c r="S9" s="54"/>
      <c r="T9" s="82"/>
      <c r="U9" s="82"/>
      <c r="V9" s="15"/>
      <c r="W9" s="15"/>
    </row>
    <row r="10" spans="1:23" ht="17.100000000000001" customHeight="1">
      <c r="A10" s="31"/>
      <c r="B10" s="34"/>
      <c r="C10" s="34"/>
      <c r="D10" s="83"/>
      <c r="E10" s="84"/>
      <c r="F10" s="83"/>
      <c r="G10" s="84"/>
      <c r="H10" s="83"/>
      <c r="I10" s="84"/>
      <c r="J10" s="83"/>
      <c r="K10" s="84"/>
      <c r="L10" s="83"/>
      <c r="M10" s="84"/>
      <c r="N10" s="37"/>
      <c r="O10" s="34"/>
      <c r="P10" s="31"/>
      <c r="Q10" s="486"/>
      <c r="R10" s="145"/>
      <c r="S10" s="54"/>
      <c r="T10" s="82"/>
      <c r="U10" s="82"/>
      <c r="V10" s="50"/>
      <c r="W10" s="50"/>
    </row>
    <row r="11" spans="1:23" ht="17.100000000000001" customHeight="1">
      <c r="A11" s="31"/>
      <c r="B11" s="40"/>
      <c r="C11" s="40"/>
      <c r="D11" s="41"/>
      <c r="E11" s="42"/>
      <c r="F11" s="41"/>
      <c r="G11" s="42"/>
      <c r="H11" s="41"/>
      <c r="I11" s="42"/>
      <c r="J11" s="41"/>
      <c r="K11" s="42"/>
      <c r="L11" s="41"/>
      <c r="M11" s="42"/>
      <c r="N11" s="41"/>
      <c r="O11" s="40"/>
      <c r="P11" s="31"/>
      <c r="Q11" s="486"/>
      <c r="R11" s="145"/>
      <c r="S11" s="54"/>
      <c r="T11" s="82"/>
      <c r="U11" s="82"/>
      <c r="V11" s="15"/>
      <c r="W11" s="15"/>
    </row>
    <row r="12" spans="1:23" ht="17.100000000000001" customHeight="1">
      <c r="A12" s="31"/>
      <c r="B12" s="521">
        <f>N6+1</f>
        <v>6</v>
      </c>
      <c r="C12" s="522"/>
      <c r="D12" s="500">
        <f>B12+1</f>
        <v>7</v>
      </c>
      <c r="E12" s="501"/>
      <c r="F12" s="500">
        <f>D12+1</f>
        <v>8</v>
      </c>
      <c r="G12" s="501"/>
      <c r="H12" s="500">
        <f t="shared" ref="H12" si="3">F12+1</f>
        <v>9</v>
      </c>
      <c r="I12" s="501"/>
      <c r="J12" s="500">
        <f t="shared" ref="J12" si="4">H12+1</f>
        <v>10</v>
      </c>
      <c r="K12" s="501"/>
      <c r="L12" s="500">
        <f t="shared" ref="L12" si="5">J12+1</f>
        <v>11</v>
      </c>
      <c r="M12" s="501"/>
      <c r="N12" s="502">
        <f t="shared" ref="N12" si="6">L12+1</f>
        <v>12</v>
      </c>
      <c r="O12" s="503"/>
      <c r="P12" s="31"/>
      <c r="Q12" s="486"/>
      <c r="R12" s="147"/>
      <c r="S12" s="54"/>
      <c r="T12" s="82"/>
      <c r="U12" s="82"/>
      <c r="V12" s="51"/>
      <c r="W12" s="51"/>
    </row>
    <row r="13" spans="1:23" ht="17.100000000000001" customHeight="1">
      <c r="A13" s="31"/>
      <c r="B13" s="34"/>
      <c r="C13" s="34"/>
      <c r="D13" s="35"/>
      <c r="E13" s="36"/>
      <c r="F13" s="35"/>
      <c r="G13" s="36"/>
      <c r="H13" s="35"/>
      <c r="I13" s="36"/>
      <c r="J13" s="35"/>
      <c r="K13" s="36"/>
      <c r="L13" s="37"/>
      <c r="M13" s="38"/>
      <c r="N13" s="37"/>
      <c r="O13" s="34"/>
      <c r="P13" s="31"/>
      <c r="Q13" s="486"/>
      <c r="R13" s="144"/>
      <c r="S13" s="53"/>
      <c r="T13" s="82"/>
      <c r="U13" s="82"/>
      <c r="V13" s="51"/>
      <c r="W13" s="51"/>
    </row>
    <row r="14" spans="1:23" ht="17.100000000000001" customHeight="1">
      <c r="A14" s="31"/>
      <c r="B14" s="34"/>
      <c r="C14" s="34"/>
      <c r="D14" s="83"/>
      <c r="E14" s="84"/>
      <c r="F14" s="83"/>
      <c r="G14" s="84"/>
      <c r="H14" s="83"/>
      <c r="I14" s="84"/>
      <c r="J14" s="35"/>
      <c r="K14" s="36"/>
      <c r="L14" s="37"/>
      <c r="M14" s="38"/>
      <c r="N14" s="37"/>
      <c r="O14" s="34"/>
      <c r="P14" s="31"/>
      <c r="Q14" s="486"/>
      <c r="R14" s="144"/>
      <c r="S14" s="53"/>
      <c r="T14" s="82"/>
      <c r="U14" s="82"/>
      <c r="V14" s="12"/>
      <c r="W14" s="12"/>
    </row>
    <row r="15" spans="1:23" ht="17.100000000000001" customHeight="1">
      <c r="A15" s="31"/>
      <c r="B15" s="34"/>
      <c r="C15" s="34"/>
      <c r="D15" s="83"/>
      <c r="E15" s="84"/>
      <c r="F15" s="83"/>
      <c r="G15" s="84"/>
      <c r="H15" s="83"/>
      <c r="I15" s="84"/>
      <c r="J15" s="83"/>
      <c r="K15" s="84"/>
      <c r="L15" s="37"/>
      <c r="M15" s="38"/>
      <c r="N15" s="37"/>
      <c r="O15" s="34"/>
      <c r="P15" s="31"/>
      <c r="Q15" s="486"/>
      <c r="R15" s="144"/>
      <c r="S15" s="53"/>
      <c r="T15" s="82"/>
      <c r="U15" s="82"/>
      <c r="V15" s="15"/>
      <c r="W15" s="15"/>
    </row>
    <row r="16" spans="1:23" ht="17.100000000000001" customHeight="1" thickBot="1">
      <c r="A16" s="31"/>
      <c r="B16" s="34"/>
      <c r="C16" s="34"/>
      <c r="D16" s="37"/>
      <c r="E16" s="38"/>
      <c r="F16" s="37"/>
      <c r="G16" s="38"/>
      <c r="H16" s="37"/>
      <c r="I16" s="38"/>
      <c r="J16" s="37"/>
      <c r="K16" s="38"/>
      <c r="L16" s="37"/>
      <c r="M16" s="38"/>
      <c r="N16" s="37"/>
      <c r="O16" s="34"/>
      <c r="P16" s="31"/>
      <c r="Q16" s="530"/>
      <c r="R16" s="148"/>
      <c r="S16" s="149"/>
      <c r="T16" s="82"/>
      <c r="U16" s="82"/>
      <c r="V16" s="15"/>
      <c r="W16" s="15"/>
    </row>
    <row r="17" spans="1:23" ht="17.100000000000001" customHeight="1" thickBot="1">
      <c r="A17" s="31"/>
      <c r="B17" s="40"/>
      <c r="C17" s="40"/>
      <c r="D17" s="41"/>
      <c r="E17" s="42"/>
      <c r="F17" s="41"/>
      <c r="G17" s="42"/>
      <c r="H17" s="41"/>
      <c r="I17" s="42"/>
      <c r="J17" s="41"/>
      <c r="K17" s="42"/>
      <c r="L17" s="41"/>
      <c r="M17" s="42"/>
      <c r="N17" s="41"/>
      <c r="O17" s="40"/>
      <c r="P17" s="31"/>
      <c r="Q17" s="55" t="s">
        <v>10</v>
      </c>
      <c r="R17" s="534">
        <f>SUM(S6:S16)*88000</f>
        <v>0</v>
      </c>
      <c r="S17" s="535"/>
      <c r="T17" s="82"/>
      <c r="U17" s="82"/>
      <c r="V17" s="15"/>
      <c r="W17" s="15"/>
    </row>
    <row r="18" spans="1:23" ht="17.100000000000001" customHeight="1">
      <c r="A18" s="31"/>
      <c r="B18" s="521">
        <f>N12+1</f>
        <v>13</v>
      </c>
      <c r="C18" s="522"/>
      <c r="D18" s="500">
        <f>B18+1</f>
        <v>14</v>
      </c>
      <c r="E18" s="501"/>
      <c r="F18" s="500">
        <f>D18+1</f>
        <v>15</v>
      </c>
      <c r="G18" s="501"/>
      <c r="H18" s="500">
        <f t="shared" ref="H18" si="7">F18+1</f>
        <v>16</v>
      </c>
      <c r="I18" s="501"/>
      <c r="J18" s="500">
        <f t="shared" ref="J18" si="8">H18+1</f>
        <v>17</v>
      </c>
      <c r="K18" s="501"/>
      <c r="L18" s="500">
        <f t="shared" ref="L18" si="9">J18+1</f>
        <v>18</v>
      </c>
      <c r="M18" s="501"/>
      <c r="N18" s="502">
        <f t="shared" ref="N18" si="10">L18+1</f>
        <v>19</v>
      </c>
      <c r="O18" s="503"/>
      <c r="P18" s="31"/>
      <c r="Q18" s="82"/>
      <c r="R18" s="50"/>
      <c r="S18" s="50"/>
      <c r="T18" s="82"/>
      <c r="U18" s="15"/>
      <c r="V18" s="50"/>
      <c r="W18" s="50"/>
    </row>
    <row r="19" spans="1:23" ht="17.100000000000001" customHeight="1">
      <c r="A19" s="31"/>
      <c r="B19" s="34"/>
      <c r="C19" s="38"/>
      <c r="D19" s="35"/>
      <c r="E19" s="36"/>
      <c r="F19" s="35"/>
      <c r="G19" s="36"/>
      <c r="H19" s="35"/>
      <c r="I19" s="36"/>
      <c r="J19" s="35"/>
      <c r="K19" s="36"/>
      <c r="L19" s="35"/>
      <c r="M19" s="36"/>
      <c r="N19" s="35"/>
      <c r="O19" s="43"/>
      <c r="P19" s="31"/>
      <c r="Q19" s="82"/>
      <c r="R19" s="15"/>
      <c r="S19" s="15"/>
      <c r="T19" s="82"/>
      <c r="U19" s="15"/>
      <c r="V19" s="50"/>
      <c r="W19" s="50"/>
    </row>
    <row r="20" spans="1:23" ht="17.100000000000001" customHeight="1">
      <c r="A20" s="31"/>
      <c r="B20" s="34"/>
      <c r="C20" s="34"/>
      <c r="D20" s="35"/>
      <c r="E20" s="36"/>
      <c r="F20" s="83"/>
      <c r="G20" s="84"/>
      <c r="H20" s="83"/>
      <c r="I20" s="84"/>
      <c r="J20" s="83"/>
      <c r="K20" s="84"/>
      <c r="L20" s="83"/>
      <c r="M20" s="38"/>
      <c r="N20" s="37"/>
      <c r="O20" s="34"/>
      <c r="P20" s="31"/>
      <c r="Q20" s="82"/>
      <c r="R20" s="51"/>
      <c r="S20" s="51"/>
      <c r="T20" s="82"/>
      <c r="U20" s="15"/>
      <c r="V20" s="50"/>
      <c r="W20" s="50"/>
    </row>
    <row r="21" spans="1:23" ht="17.100000000000001" customHeight="1">
      <c r="A21" s="31"/>
      <c r="B21" s="34"/>
      <c r="C21" s="34"/>
      <c r="D21" s="83"/>
      <c r="E21" s="84"/>
      <c r="F21" s="83"/>
      <c r="G21" s="84"/>
      <c r="H21" s="83"/>
      <c r="I21" s="84"/>
      <c r="J21" s="83"/>
      <c r="K21" s="84"/>
      <c r="L21" s="83"/>
      <c r="M21" s="38"/>
      <c r="N21" s="37"/>
      <c r="O21" s="34"/>
      <c r="P21" s="31"/>
      <c r="Q21" s="82"/>
      <c r="R21" s="82"/>
      <c r="S21" s="82"/>
      <c r="T21" s="82"/>
      <c r="U21" s="82"/>
      <c r="V21" s="15"/>
      <c r="W21" s="15"/>
    </row>
    <row r="22" spans="1:23" ht="17.100000000000001" customHeight="1">
      <c r="A22" s="31"/>
      <c r="B22" s="34"/>
      <c r="C22" s="34"/>
      <c r="D22" s="37"/>
      <c r="E22" s="38"/>
      <c r="F22" s="37"/>
      <c r="G22" s="38"/>
      <c r="H22" s="37"/>
      <c r="I22" s="38"/>
      <c r="J22" s="37"/>
      <c r="K22" s="38"/>
      <c r="L22" s="37"/>
      <c r="M22" s="38"/>
      <c r="N22" s="37"/>
      <c r="O22" s="34"/>
      <c r="P22" s="31"/>
      <c r="Q22" s="82"/>
      <c r="R22" s="12"/>
      <c r="S22" s="12"/>
      <c r="T22" s="82"/>
      <c r="U22" s="82"/>
      <c r="V22" s="51"/>
      <c r="W22" s="51"/>
    </row>
    <row r="23" spans="1:23" ht="17.100000000000001" customHeight="1">
      <c r="A23" s="31"/>
      <c r="B23" s="40"/>
      <c r="C23" s="40"/>
      <c r="D23" s="41"/>
      <c r="E23" s="42"/>
      <c r="F23" s="41"/>
      <c r="G23" s="42"/>
      <c r="H23" s="41"/>
      <c r="I23" s="42"/>
      <c r="J23" s="41"/>
      <c r="K23" s="42"/>
      <c r="L23" s="41"/>
      <c r="M23" s="42"/>
      <c r="N23" s="41"/>
      <c r="O23" s="40"/>
      <c r="P23" s="31"/>
      <c r="Q23" s="82"/>
      <c r="R23" s="15"/>
      <c r="S23" s="15"/>
      <c r="T23" s="82"/>
      <c r="U23" s="82"/>
      <c r="V23" s="82"/>
      <c r="W23" s="82"/>
    </row>
    <row r="24" spans="1:23" ht="17.100000000000001" customHeight="1">
      <c r="A24" s="31"/>
      <c r="B24" s="521">
        <f>N18+1</f>
        <v>20</v>
      </c>
      <c r="C24" s="522"/>
      <c r="D24" s="500">
        <f>B24+1</f>
        <v>21</v>
      </c>
      <c r="E24" s="501"/>
      <c r="F24" s="500">
        <f>D24+1</f>
        <v>22</v>
      </c>
      <c r="G24" s="501"/>
      <c r="H24" s="500">
        <f t="shared" ref="H24" si="11">F24+1</f>
        <v>23</v>
      </c>
      <c r="I24" s="501"/>
      <c r="J24" s="523">
        <f t="shared" ref="J24" si="12">H24+1</f>
        <v>24</v>
      </c>
      <c r="K24" s="524"/>
      <c r="L24" s="525">
        <f t="shared" ref="L24" si="13">J24+1</f>
        <v>25</v>
      </c>
      <c r="M24" s="522"/>
      <c r="N24" s="502">
        <f t="shared" ref="N24" si="14">L24+1</f>
        <v>26</v>
      </c>
      <c r="O24" s="503"/>
      <c r="P24" s="31"/>
      <c r="Q24" s="82"/>
      <c r="R24" s="15"/>
      <c r="S24" s="15"/>
      <c r="T24" s="82"/>
      <c r="U24" s="82"/>
      <c r="V24" s="12"/>
      <c r="W24" s="12"/>
    </row>
    <row r="25" spans="1:23" ht="17.100000000000001" customHeight="1">
      <c r="A25" s="31"/>
      <c r="B25" s="43"/>
      <c r="C25" s="36"/>
      <c r="D25" s="35"/>
      <c r="E25" s="36"/>
      <c r="F25" s="83"/>
      <c r="G25" s="84"/>
      <c r="H25" s="83"/>
      <c r="I25" s="84"/>
      <c r="J25" s="35"/>
      <c r="K25" s="36"/>
      <c r="L25" s="37"/>
      <c r="M25" s="38"/>
      <c r="N25" s="37"/>
      <c r="O25" s="34"/>
      <c r="P25" s="31"/>
      <c r="Q25" s="82"/>
      <c r="R25" s="15"/>
      <c r="S25" s="15"/>
      <c r="T25" s="82"/>
      <c r="U25" s="82"/>
      <c r="V25" s="15"/>
      <c r="W25" s="15"/>
    </row>
    <row r="26" spans="1:23" ht="17.100000000000001" customHeight="1">
      <c r="A26" s="31"/>
      <c r="B26" s="34"/>
      <c r="C26" s="34"/>
      <c r="D26" s="83"/>
      <c r="E26" s="84"/>
      <c r="F26" s="83"/>
      <c r="G26" s="84"/>
      <c r="H26" s="83"/>
      <c r="I26" s="84"/>
      <c r="J26" s="83"/>
      <c r="K26" s="84"/>
      <c r="L26" s="37"/>
      <c r="M26" s="38"/>
      <c r="N26" s="37"/>
      <c r="O26" s="34"/>
      <c r="P26" s="31"/>
      <c r="Q26" s="15"/>
      <c r="R26" s="50"/>
      <c r="S26" s="50"/>
      <c r="T26" s="82"/>
      <c r="U26" s="82"/>
      <c r="V26" s="15"/>
      <c r="W26" s="15"/>
    </row>
    <row r="27" spans="1:23" ht="17.100000000000001" customHeight="1">
      <c r="A27" s="31"/>
      <c r="B27" s="34"/>
      <c r="C27" s="34"/>
      <c r="D27" s="37"/>
      <c r="E27" s="38"/>
      <c r="F27" s="37"/>
      <c r="G27" s="38"/>
      <c r="H27" s="37"/>
      <c r="I27" s="38"/>
      <c r="J27" s="37"/>
      <c r="K27" s="38"/>
      <c r="L27" s="37"/>
      <c r="M27" s="38"/>
      <c r="N27" s="37"/>
      <c r="O27" s="34"/>
      <c r="P27" s="31"/>
      <c r="Q27" s="15"/>
      <c r="R27" s="50"/>
      <c r="S27" s="50"/>
      <c r="T27" s="82"/>
      <c r="U27" s="82"/>
      <c r="V27" s="15"/>
      <c r="W27" s="15"/>
    </row>
    <row r="28" spans="1:23" ht="17.100000000000001" customHeight="1">
      <c r="A28" s="31"/>
      <c r="B28" s="34"/>
      <c r="C28" s="34"/>
      <c r="D28" s="37"/>
      <c r="E28" s="38"/>
      <c r="F28" s="37"/>
      <c r="G28" s="38"/>
      <c r="H28" s="37"/>
      <c r="I28" s="38"/>
      <c r="J28" s="37"/>
      <c r="K28" s="38"/>
      <c r="L28" s="37"/>
      <c r="M28" s="38"/>
      <c r="N28" s="37"/>
      <c r="O28" s="34"/>
      <c r="P28" s="31"/>
      <c r="Q28" s="15"/>
      <c r="R28" s="50"/>
      <c r="S28" s="50"/>
      <c r="T28" s="82"/>
      <c r="U28" s="82"/>
      <c r="V28" s="50"/>
      <c r="W28" s="50"/>
    </row>
    <row r="29" spans="1:23" ht="17.100000000000001" customHeight="1">
      <c r="A29" s="31"/>
      <c r="B29" s="40"/>
      <c r="C29" s="40"/>
      <c r="D29" s="41"/>
      <c r="E29" s="42"/>
      <c r="F29" s="41"/>
      <c r="G29" s="42"/>
      <c r="H29" s="41"/>
      <c r="I29" s="42"/>
      <c r="J29" s="41"/>
      <c r="K29" s="42"/>
      <c r="L29" s="41"/>
      <c r="M29" s="42"/>
      <c r="N29" s="41"/>
      <c r="O29" s="40"/>
      <c r="P29" s="31"/>
      <c r="Q29" s="82"/>
      <c r="R29" s="15"/>
      <c r="S29" s="15"/>
      <c r="T29" s="82"/>
      <c r="U29" s="82"/>
      <c r="V29" s="15"/>
      <c r="W29" s="15"/>
    </row>
    <row r="30" spans="1:23" ht="17.100000000000001" customHeight="1">
      <c r="A30" s="31"/>
      <c r="B30" s="521">
        <f>N24+1</f>
        <v>27</v>
      </c>
      <c r="C30" s="522"/>
      <c r="D30" s="500">
        <f>B30+1</f>
        <v>28</v>
      </c>
      <c r="E30" s="501"/>
      <c r="F30" s="500">
        <f>D30+1</f>
        <v>29</v>
      </c>
      <c r="G30" s="501"/>
      <c r="H30" s="500">
        <f>F30+1</f>
        <v>30</v>
      </c>
      <c r="I30" s="501"/>
      <c r="J30" s="500">
        <f>H30+1</f>
        <v>31</v>
      </c>
      <c r="K30" s="501"/>
      <c r="L30" s="499"/>
      <c r="M30" s="498"/>
      <c r="N30" s="526"/>
      <c r="O30" s="527"/>
      <c r="P30" s="31"/>
      <c r="Q30" s="82"/>
      <c r="R30" s="51"/>
      <c r="S30" s="51"/>
      <c r="T30" s="82"/>
      <c r="U30" s="82"/>
      <c r="V30" s="51"/>
      <c r="W30" s="51"/>
    </row>
    <row r="31" spans="1:23" ht="17.100000000000001" customHeight="1">
      <c r="A31" s="31"/>
      <c r="B31" s="34"/>
      <c r="C31" s="38"/>
      <c r="D31" s="37"/>
      <c r="E31" s="38"/>
      <c r="F31" s="37"/>
      <c r="G31" s="38"/>
      <c r="H31" s="37"/>
      <c r="I31" s="38"/>
      <c r="J31" s="37"/>
      <c r="K31" s="38"/>
      <c r="L31" s="83"/>
      <c r="M31" s="84"/>
      <c r="N31" s="83"/>
      <c r="O31" s="60"/>
      <c r="P31" s="31"/>
      <c r="Q31" s="15"/>
      <c r="R31" s="15"/>
      <c r="S31" s="15"/>
      <c r="T31" s="82"/>
      <c r="U31" s="82"/>
      <c r="V31" s="82"/>
      <c r="W31" s="82"/>
    </row>
    <row r="32" spans="1:23" ht="17.100000000000001" customHeight="1">
      <c r="A32" s="31"/>
      <c r="B32" s="34"/>
      <c r="C32" s="38"/>
      <c r="D32" s="37"/>
      <c r="E32" s="38"/>
      <c r="F32" s="37"/>
      <c r="G32" s="38"/>
      <c r="H32" s="37"/>
      <c r="I32" s="38"/>
      <c r="J32" s="37"/>
      <c r="K32" s="38"/>
      <c r="L32" s="83"/>
      <c r="M32" s="84"/>
      <c r="N32" s="83"/>
      <c r="O32" s="60"/>
      <c r="P32" s="31"/>
      <c r="Q32" s="15"/>
      <c r="R32" s="15"/>
      <c r="S32" s="15"/>
      <c r="T32" s="31"/>
      <c r="U32" s="31"/>
      <c r="V32" s="31"/>
      <c r="W32" s="31"/>
    </row>
    <row r="33" spans="1:23" ht="17.100000000000001" customHeight="1">
      <c r="A33" s="31"/>
      <c r="B33" s="34"/>
      <c r="C33" s="34"/>
      <c r="D33" s="37"/>
      <c r="E33" s="38"/>
      <c r="F33" s="37"/>
      <c r="G33" s="38"/>
      <c r="H33" s="37"/>
      <c r="I33" s="38"/>
      <c r="J33" s="37"/>
      <c r="K33" s="38"/>
      <c r="L33" s="83"/>
      <c r="M33" s="84"/>
      <c r="N33" s="83"/>
      <c r="O33" s="60"/>
      <c r="P33" s="31"/>
      <c r="Q33" s="15"/>
      <c r="R33" s="15"/>
      <c r="S33" s="15"/>
      <c r="T33" s="31"/>
      <c r="U33" s="31"/>
      <c r="V33" s="31"/>
      <c r="W33" s="31"/>
    </row>
    <row r="34" spans="1:23" ht="17.100000000000001" customHeight="1">
      <c r="A34" s="31"/>
      <c r="B34" s="34"/>
      <c r="C34" s="34"/>
      <c r="D34" s="37"/>
      <c r="E34" s="38"/>
      <c r="F34" s="37"/>
      <c r="G34" s="38"/>
      <c r="H34" s="37"/>
      <c r="I34" s="38"/>
      <c r="J34" s="37"/>
      <c r="K34" s="38"/>
      <c r="L34" s="83"/>
      <c r="M34" s="84"/>
      <c r="N34" s="83"/>
      <c r="O34" s="60"/>
      <c r="P34" s="31"/>
      <c r="Q34" s="31"/>
      <c r="R34" s="31"/>
      <c r="S34" s="31"/>
      <c r="T34" s="31"/>
      <c r="U34" s="31"/>
      <c r="V34" s="31"/>
      <c r="W34" s="31"/>
    </row>
    <row r="35" spans="1:23" ht="17.100000000000001" customHeight="1">
      <c r="A35" s="31"/>
      <c r="B35" s="40"/>
      <c r="C35" s="40"/>
      <c r="D35" s="41"/>
      <c r="E35" s="42"/>
      <c r="F35" s="41"/>
      <c r="G35" s="42"/>
      <c r="H35" s="41"/>
      <c r="I35" s="42"/>
      <c r="J35" s="41"/>
      <c r="K35" s="42"/>
      <c r="L35" s="85"/>
      <c r="M35" s="86"/>
      <c r="N35" s="85"/>
      <c r="O35" s="61"/>
      <c r="P35" s="31"/>
      <c r="Q35" s="31"/>
      <c r="R35" s="31"/>
      <c r="S35" s="31"/>
      <c r="T35" s="31"/>
      <c r="U35" s="483"/>
      <c r="V35" s="155"/>
      <c r="W35" s="156"/>
    </row>
    <row r="36" spans="1:23" ht="17.100000000000001" customHeight="1">
      <c r="A36" s="31"/>
      <c r="B36" s="558"/>
      <c r="C36" s="567"/>
      <c r="D36" s="499"/>
      <c r="E36" s="498"/>
      <c r="F36" s="499"/>
      <c r="G36" s="498"/>
      <c r="H36" s="568"/>
      <c r="I36" s="569"/>
      <c r="J36" s="568"/>
      <c r="K36" s="569"/>
      <c r="L36" s="499"/>
      <c r="M36" s="498"/>
      <c r="N36" s="499"/>
      <c r="O36" s="497"/>
      <c r="P36" s="31"/>
      <c r="Q36" s="31"/>
      <c r="R36" s="31"/>
      <c r="S36" s="31"/>
      <c r="T36" s="31"/>
      <c r="U36" s="483"/>
      <c r="V36" s="157"/>
      <c r="W36" s="156"/>
    </row>
    <row r="37" spans="1:23" ht="17.100000000000001" customHeight="1">
      <c r="A37" s="31"/>
      <c r="B37" s="34"/>
      <c r="C37" s="34"/>
      <c r="D37" s="37"/>
      <c r="E37" s="38"/>
      <c r="F37" s="37"/>
      <c r="G37" s="38"/>
      <c r="H37" s="37"/>
      <c r="I37" s="38"/>
      <c r="J37" s="37"/>
      <c r="K37" s="38"/>
      <c r="L37" s="37"/>
      <c r="M37" s="38"/>
      <c r="N37" s="37"/>
      <c r="O37" s="34"/>
      <c r="P37" s="31"/>
      <c r="Q37" s="31"/>
      <c r="R37" s="31"/>
      <c r="S37" s="31"/>
      <c r="T37" s="31"/>
      <c r="U37" s="483"/>
      <c r="V37" s="157"/>
      <c r="W37" s="156"/>
    </row>
    <row r="38" spans="1:23" ht="17.100000000000001" customHeight="1">
      <c r="A38" s="31"/>
      <c r="B38" s="34"/>
      <c r="C38" s="34"/>
      <c r="D38" s="37"/>
      <c r="E38" s="38"/>
      <c r="F38" s="37"/>
      <c r="G38" s="38"/>
      <c r="H38" s="37"/>
      <c r="I38" s="38"/>
      <c r="J38" s="37"/>
      <c r="K38" s="38"/>
      <c r="L38" s="37"/>
      <c r="M38" s="38"/>
      <c r="N38" s="37"/>
      <c r="O38" s="34"/>
      <c r="P38" s="31"/>
      <c r="Q38" s="31"/>
      <c r="R38" s="31"/>
      <c r="S38" s="31"/>
      <c r="T38" s="31"/>
      <c r="U38" s="483"/>
      <c r="V38" s="19"/>
      <c r="W38" s="156"/>
    </row>
    <row r="39" spans="1:23" ht="17.100000000000001" customHeight="1">
      <c r="A39" s="31"/>
      <c r="B39" s="46"/>
      <c r="C39" s="4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46"/>
      <c r="P39" s="31"/>
      <c r="Q39" s="31"/>
      <c r="R39" s="31"/>
      <c r="S39" s="31"/>
      <c r="T39" s="31"/>
      <c r="U39" s="483"/>
      <c r="V39" s="19"/>
      <c r="W39" s="156"/>
    </row>
    <row r="40" spans="1:23" ht="17.100000000000001" customHeight="1">
      <c r="A40" s="31"/>
      <c r="B40" s="46"/>
      <c r="C40" s="4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46"/>
      <c r="P40" s="31"/>
      <c r="Q40" s="31"/>
      <c r="R40" s="31"/>
      <c r="S40" s="31"/>
      <c r="T40" s="31"/>
      <c r="U40" s="483"/>
      <c r="V40" s="19"/>
      <c r="W40" s="156"/>
    </row>
    <row r="41" spans="1:23" ht="17.100000000000001" customHeight="1">
      <c r="A41" s="31"/>
      <c r="B41" s="40"/>
      <c r="C41" s="40"/>
      <c r="D41" s="41"/>
      <c r="E41" s="42"/>
      <c r="F41" s="41"/>
      <c r="G41" s="42"/>
      <c r="H41" s="41"/>
      <c r="I41" s="42"/>
      <c r="J41" s="41"/>
      <c r="K41" s="42"/>
      <c r="L41" s="41"/>
      <c r="M41" s="42"/>
      <c r="N41" s="41"/>
      <c r="O41" s="40"/>
      <c r="P41" s="31"/>
      <c r="Q41" s="31"/>
      <c r="R41" s="31"/>
      <c r="S41" s="31"/>
      <c r="T41" s="31"/>
      <c r="U41" s="94"/>
      <c r="V41" s="571"/>
      <c r="W41" s="571"/>
    </row>
    <row r="42" spans="1:2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</row>
  </sheetData>
  <mergeCells count="60">
    <mergeCell ref="V41:W41"/>
    <mergeCell ref="U35:U40"/>
    <mergeCell ref="N36:O36"/>
    <mergeCell ref="L36:M36"/>
    <mergeCell ref="N24:O24"/>
    <mergeCell ref="L30:M30"/>
    <mergeCell ref="N30:O30"/>
    <mergeCell ref="L24:M24"/>
    <mergeCell ref="B36:C36"/>
    <mergeCell ref="D36:E36"/>
    <mergeCell ref="F36:G36"/>
    <mergeCell ref="H36:I36"/>
    <mergeCell ref="J36:K36"/>
    <mergeCell ref="B30:C30"/>
    <mergeCell ref="D30:E30"/>
    <mergeCell ref="F30:G30"/>
    <mergeCell ref="H30:I30"/>
    <mergeCell ref="J30:K30"/>
    <mergeCell ref="B24:C24"/>
    <mergeCell ref="D24:E24"/>
    <mergeCell ref="F24:G24"/>
    <mergeCell ref="H24:I24"/>
    <mergeCell ref="J24:K24"/>
    <mergeCell ref="L18:M18"/>
    <mergeCell ref="N18:O18"/>
    <mergeCell ref="B12:C12"/>
    <mergeCell ref="D12:E12"/>
    <mergeCell ref="F12:G12"/>
    <mergeCell ref="H12:I12"/>
    <mergeCell ref="J12:K12"/>
    <mergeCell ref="L12:M12"/>
    <mergeCell ref="B18:C18"/>
    <mergeCell ref="D18:E18"/>
    <mergeCell ref="F18:G18"/>
    <mergeCell ref="H18:I18"/>
    <mergeCell ref="J18:K18"/>
    <mergeCell ref="B6:C6"/>
    <mergeCell ref="D6:E6"/>
    <mergeCell ref="F6:G6"/>
    <mergeCell ref="B2:O3"/>
    <mergeCell ref="Q2:S2"/>
    <mergeCell ref="Q3:S4"/>
    <mergeCell ref="B4:O4"/>
    <mergeCell ref="B5:C5"/>
    <mergeCell ref="D5:E5"/>
    <mergeCell ref="F5:G5"/>
    <mergeCell ref="H5:I5"/>
    <mergeCell ref="J5:K5"/>
    <mergeCell ref="L5:M5"/>
    <mergeCell ref="N5:O5"/>
    <mergeCell ref="H6:I6"/>
    <mergeCell ref="J6:K6"/>
    <mergeCell ref="R17:S17"/>
    <mergeCell ref="D7:E7"/>
    <mergeCell ref="F7:G7"/>
    <mergeCell ref="H7:I7"/>
    <mergeCell ref="L6:M6"/>
    <mergeCell ref="N6:O6"/>
    <mergeCell ref="Q6:Q16"/>
    <mergeCell ref="N12:O12"/>
  </mergeCells>
  <phoneticPr fontId="1" type="noConversion"/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12</vt:i4>
      </vt:variant>
    </vt:vector>
  </HeadingPairs>
  <TitlesOfParts>
    <vt:vector size="24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'10월'!Print_Area</vt:lpstr>
      <vt:lpstr>'11월'!Print_Area</vt:lpstr>
      <vt:lpstr>'12월'!Print_Area</vt:lpstr>
      <vt:lpstr>'1월'!Print_Area</vt:lpstr>
      <vt:lpstr>'2월'!Print_Area</vt:lpstr>
      <vt:lpstr>'3월'!Print_Area</vt:lpstr>
      <vt:lpstr>'4월'!Print_Area</vt:lpstr>
      <vt:lpstr>'5월'!Print_Area</vt:lpstr>
      <vt:lpstr>'6월'!Print_Area</vt:lpstr>
      <vt:lpstr>'7월'!Print_Area</vt:lpstr>
      <vt:lpstr>'8월'!Print_Area</vt:lpstr>
      <vt:lpstr>'9월'!Print_Area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2026-06-05T02:05:44Z</cp:lastPrinted>
  <dcterms:created xsi:type="dcterms:W3CDTF">2020-03-24T00:05:06Z</dcterms:created>
  <dcterms:modified xsi:type="dcterms:W3CDTF">2026-07-23T00:40:39Z</dcterms:modified>
</cp:coreProperties>
</file>